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Randy-Shared (1)\Updated Workbooks With Ads\"/>
    </mc:Choice>
  </mc:AlternateContent>
  <xr:revisionPtr revIDLastSave="0" documentId="13_ncr:1_{DC5377DC-902D-4D9C-9836-4FB2A51EDB7F}" xr6:coauthVersionLast="45" xr6:coauthVersionMax="45" xr10:uidLastSave="{00000000-0000-0000-0000-000000000000}"/>
  <bookViews>
    <workbookView xWindow="-120" yWindow="-120" windowWidth="29040" windowHeight="15840" tabRatio="357" xr2:uid="{00000000-000D-0000-FFFF-FFFF00000000}"/>
  </bookViews>
  <sheets>
    <sheet name="Items" sheetId="1" r:id="rId1"/>
    <sheet name="ItemDbs" sheetId="4" r:id="rId2"/>
  </sheets>
  <definedNames>
    <definedName name="_xlnm._FilterDatabase" localSheetId="1" hidden="1">ItemDbs!$D$3:$D$33</definedName>
    <definedName name="_xlnm._FilterDatabase" localSheetId="0" hidden="1">Items!$H$4:$N$17</definedName>
    <definedName name="AmountSearch">Items!$X$16:$Y$17</definedName>
    <definedName name="ClearRange">Items!$X$24:$Y$24</definedName>
    <definedName name="DateSearch">Items!$X$12:$Y$13</definedName>
    <definedName name="_xlnm.Extract" localSheetId="1">ItemDbs!$K$3</definedName>
    <definedName name="ItemID">OFFSET(ItemDbs!$A$4,,,COUNTA(ItemDbs!$A$4:$A$955),1)</definedName>
    <definedName name="ListSearch">Items!$X$9:$Y$9</definedName>
    <definedName name="NumberSearch">Items!$X$20:$Y$21</definedName>
    <definedName name="TextSearch">Items!$X$6:$Y$6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  <c r="H7" i="1" l="1"/>
  <c r="B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Randy\Dropbox\Excel4Freelancers\FreeTrainingVideos\Shared Workbook\CustData.xlsx" keepAlive="1" name="CustData" type="5" refreshedVersion="0" new="1" background="1" saveData="1">
    <dbPr connection="Provider=Microsoft.ACE.OLEDB.12.0;Password=&quot;&quot;;User ID=Admin;Data Source=C:\Users\Randy\Dropbox\Excel4Freelancers\FreeTrainingVideos\Shared Workbook\CustData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CustDb$" commandType="3"/>
  </connection>
</connections>
</file>

<file path=xl/sharedStrings.xml><?xml version="1.0" encoding="utf-8"?>
<sst xmlns="http://schemas.openxmlformats.org/spreadsheetml/2006/main" count="602" uniqueCount="113">
  <si>
    <t xml:space="preserve"> </t>
  </si>
  <si>
    <t>Sel. Row</t>
  </si>
  <si>
    <t>Database Column Mapping</t>
  </si>
  <si>
    <t>ADVANCED FILTERS</t>
  </si>
  <si>
    <t>Item #</t>
  </si>
  <si>
    <t>Item Name</t>
  </si>
  <si>
    <t>Type</t>
  </si>
  <si>
    <t>Size</t>
  </si>
  <si>
    <t>Purchase Date</t>
  </si>
  <si>
    <t>L</t>
  </si>
  <si>
    <t>Name</t>
  </si>
  <si>
    <t>Text</t>
  </si>
  <si>
    <t>List</t>
  </si>
  <si>
    <t>Number</t>
  </si>
  <si>
    <t>Long Sleeve</t>
  </si>
  <si>
    <t>Short Sleeve</t>
  </si>
  <si>
    <t>T-Shirt</t>
  </si>
  <si>
    <t>Button Down</t>
  </si>
  <si>
    <t>V-Neck</t>
  </si>
  <si>
    <t>Men's Dress Shirt</t>
  </si>
  <si>
    <t>100 Cotton T-Shirt</t>
  </si>
  <si>
    <t>Long Sleeve Cotton</t>
  </si>
  <si>
    <t>Summer Short Shirt</t>
  </si>
  <si>
    <t>High Cut V-Neck Shirt</t>
  </si>
  <si>
    <t>Men's Tank Top</t>
  </si>
  <si>
    <t>Cotton Polo Shirt</t>
  </si>
  <si>
    <t>Small</t>
  </si>
  <si>
    <t>Medium</t>
  </si>
  <si>
    <t>Large</t>
  </si>
  <si>
    <t>X-Large</t>
  </si>
  <si>
    <t>Extra-Large</t>
  </si>
  <si>
    <t>Date</t>
  </si>
  <si>
    <t>Amount</t>
  </si>
  <si>
    <t>Item List</t>
  </si>
  <si>
    <t>From:</t>
  </si>
  <si>
    <t>To:</t>
  </si>
  <si>
    <t>Item Type</t>
  </si>
  <si>
    <t>Size;</t>
  </si>
  <si>
    <t>Purchase Date:</t>
  </si>
  <si>
    <t>Purch. Qty</t>
  </si>
  <si>
    <t>Min:</t>
  </si>
  <si>
    <t>Max:</t>
  </si>
  <si>
    <t>Purch. Price</t>
  </si>
  <si>
    <t>Purchase Qty:</t>
  </si>
  <si>
    <t>Sel.Item ID</t>
  </si>
  <si>
    <t>Next Item ID</t>
  </si>
  <si>
    <t>Cotton Large Polo Shirt</t>
  </si>
  <si>
    <t>Men's X Lg. Tank Top</t>
  </si>
  <si>
    <t>Cotton Polo Shirt -Small</t>
  </si>
  <si>
    <t>I6</t>
  </si>
  <si>
    <t>I8</t>
  </si>
  <si>
    <t>I10</t>
  </si>
  <si>
    <t>L6</t>
  </si>
  <si>
    <t>Purch. Price:</t>
  </si>
  <si>
    <t>L10</t>
  </si>
  <si>
    <t>L8</t>
  </si>
  <si>
    <t xml:space="preserve"> Item Db Row</t>
  </si>
  <si>
    <t>New Item</t>
  </si>
  <si>
    <t>Filter Cell Templates</t>
  </si>
  <si>
    <t>Text Search</t>
  </si>
  <si>
    <t>List Search</t>
  </si>
  <si>
    <t>Date Search</t>
  </si>
  <si>
    <t>Amount Search</t>
  </si>
  <si>
    <t>Number Search</t>
  </si>
  <si>
    <t>Clear Range</t>
  </si>
  <si>
    <t>Unique Lists</t>
  </si>
  <si>
    <t>Enter Item #:</t>
  </si>
  <si>
    <t>Enter Name:</t>
  </si>
  <si>
    <t>Tank Top</t>
  </si>
  <si>
    <t>AND</t>
  </si>
  <si>
    <t>Filter Change Row</t>
  </si>
  <si>
    <t>þ</t>
  </si>
  <si>
    <t>Item Name:</t>
  </si>
  <si>
    <t>Item Type:</t>
  </si>
  <si>
    <t>Size:</t>
  </si>
  <si>
    <t>Filter Load</t>
  </si>
  <si>
    <t>CS-1</t>
  </si>
  <si>
    <t>CS-2</t>
  </si>
  <si>
    <t>CS-3</t>
  </si>
  <si>
    <t>CS-4</t>
  </si>
  <si>
    <t>CS-5</t>
  </si>
  <si>
    <t>CS-6</t>
  </si>
  <si>
    <t>CS-7</t>
  </si>
  <si>
    <t>CS-8</t>
  </si>
  <si>
    <t>CS-9</t>
  </si>
  <si>
    <t>CS-10</t>
  </si>
  <si>
    <t>CS-11</t>
  </si>
  <si>
    <t>CS-12</t>
  </si>
  <si>
    <t>CS-13</t>
  </si>
  <si>
    <t>CS-14</t>
  </si>
  <si>
    <t>CS-15</t>
  </si>
  <si>
    <t>CS-16</t>
  </si>
  <si>
    <t>CS-17</t>
  </si>
  <si>
    <t>CS-18</t>
  </si>
  <si>
    <t>CS-19</t>
  </si>
  <si>
    <t>CS-20</t>
  </si>
  <si>
    <t>CS-21</t>
  </si>
  <si>
    <t>CS-22</t>
  </si>
  <si>
    <t>CS-23</t>
  </si>
  <si>
    <t>CS-24</t>
  </si>
  <si>
    <t>CS-25</t>
  </si>
  <si>
    <t>CS-26</t>
  </si>
  <si>
    <t>CS-27</t>
  </si>
  <si>
    <t>CS-28</t>
  </si>
  <si>
    <t>CS-29</t>
  </si>
  <si>
    <t>ADVANCED FILTER RESULTS 1</t>
  </si>
  <si>
    <t>CRITERIA 2</t>
  </si>
  <si>
    <t>CRITERIA 1</t>
  </si>
  <si>
    <t>ADVANCED FILTER RESULTS 2</t>
  </si>
  <si>
    <t>CRITERIA 3</t>
  </si>
  <si>
    <t>ADVANCED FILTER RESULTS 3 (FINAL)</t>
  </si>
  <si>
    <t>Extra Small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</si>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</sst>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&quot;$&quot;#,##0.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48"/>
      <color rgb="FF0070C0"/>
      <name val="Myriad Pro Black"/>
      <family val="2"/>
    </font>
    <font>
      <sz val="11"/>
      <color rgb="FF0070C0"/>
      <name val="Calibri"/>
      <family val="2"/>
      <scheme val="minor"/>
    </font>
    <font>
      <b/>
      <sz val="25"/>
      <color rgb="FF0070C0"/>
      <name val="Cambria"/>
      <family val="1"/>
      <scheme val="major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4" tint="-0.249977111117893"/>
      <name val="Cambria"/>
      <family val="1"/>
      <scheme val="major"/>
    </font>
    <font>
      <b/>
      <sz val="11"/>
      <color theme="4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4" tint="-0.499984740745262"/>
      <name val="Webdings"/>
      <family val="1"/>
      <charset val="2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Wingdings"/>
      <charset val="2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270">
        <stop position="0">
          <color theme="3" tint="0.59999389629810485"/>
        </stop>
        <stop position="1">
          <color theme="3" tint="0.40000610370189521"/>
        </stop>
      </gradientFill>
    </fill>
    <fill>
      <patternFill patternType="solid">
        <fgColor theme="6" tint="0.39997558519241921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/>
      <right style="hair">
        <color rgb="FF0070C0"/>
      </right>
      <top style="thin">
        <color rgb="FF0070C0"/>
      </top>
      <bottom style="thin">
        <color rgb="FF0070C0"/>
      </bottom>
      <diagonal/>
    </border>
    <border>
      <left/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medium">
        <color rgb="FF0070C0"/>
      </bottom>
      <diagonal/>
    </border>
    <border>
      <left/>
      <right style="thin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/>
      <diagonal/>
    </border>
    <border>
      <left/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medium">
        <color rgb="FF0070C0"/>
      </right>
      <top style="thin">
        <color rgb="FF0070C0"/>
      </top>
      <bottom/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5" fontId="7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/>
    <xf numFmtId="0" fontId="3" fillId="2" borderId="0" xfId="1" applyFont="1" applyFill="1" applyBorder="1" applyAlignment="1"/>
    <xf numFmtId="0" fontId="0" fillId="0" borderId="4" xfId="0" applyFill="1" applyBorder="1"/>
    <xf numFmtId="0" fontId="0" fillId="0" borderId="7" xfId="0" applyFill="1" applyBorder="1"/>
    <xf numFmtId="0" fontId="0" fillId="0" borderId="10" xfId="0" applyFill="1" applyBorder="1"/>
    <xf numFmtId="0" fontId="0" fillId="5" borderId="13" xfId="0" applyFill="1" applyBorder="1"/>
    <xf numFmtId="0" fontId="5" fillId="2" borderId="1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0" fillId="6" borderId="0" xfId="0" applyFill="1"/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166" fontId="0" fillId="5" borderId="13" xfId="0" applyNumberFormat="1" applyFill="1" applyBorder="1" applyAlignment="1">
      <alignment horizontal="left"/>
    </xf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14" fontId="1" fillId="4" borderId="21" xfId="0" applyNumberFormat="1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/>
    <xf numFmtId="0" fontId="0" fillId="0" borderId="24" xfId="0" applyFill="1" applyBorder="1"/>
    <xf numFmtId="0" fontId="0" fillId="3" borderId="0" xfId="0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26" xfId="0" applyFill="1" applyBorder="1" applyAlignment="1">
      <alignment horizontal="right"/>
    </xf>
    <xf numFmtId="0" fontId="0" fillId="3" borderId="2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4" fontId="0" fillId="0" borderId="4" xfId="0" applyNumberFormat="1" applyFill="1" applyBorder="1"/>
    <xf numFmtId="14" fontId="0" fillId="0" borderId="7" xfId="0" applyNumberFormat="1" applyFill="1" applyBorder="1"/>
    <xf numFmtId="14" fontId="0" fillId="0" borderId="24" xfId="0" applyNumberFormat="1" applyFill="1" applyBorder="1"/>
    <xf numFmtId="14" fontId="0" fillId="0" borderId="10" xfId="0" applyNumberFormat="1" applyFill="1" applyBorder="1"/>
    <xf numFmtId="0" fontId="8" fillId="3" borderId="30" xfId="0" applyFont="1" applyFill="1" applyBorder="1" applyAlignment="1">
      <alignment horizontal="center"/>
    </xf>
    <xf numFmtId="0" fontId="8" fillId="3" borderId="34" xfId="0" applyFont="1" applyFill="1" applyBorder="1" applyAlignment="1">
      <alignment horizontal="center"/>
    </xf>
    <xf numFmtId="0" fontId="10" fillId="10" borderId="34" xfId="0" applyFont="1" applyFill="1" applyBorder="1" applyAlignment="1">
      <alignment horizontal="center"/>
    </xf>
    <xf numFmtId="0" fontId="10" fillId="10" borderId="30" xfId="0" applyFont="1" applyFill="1" applyBorder="1" applyAlignment="1">
      <alignment horizontal="center"/>
    </xf>
    <xf numFmtId="0" fontId="10" fillId="10" borderId="35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0" borderId="5" xfId="0" applyNumberFormat="1" applyFill="1" applyBorder="1" applyAlignment="1">
      <alignment horizontal="center"/>
    </xf>
    <xf numFmtId="0" fontId="0" fillId="0" borderId="8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12" fillId="0" borderId="12" xfId="0" applyFont="1" applyFill="1" applyBorder="1" applyAlignment="1">
      <alignment horizontal="center"/>
    </xf>
    <xf numFmtId="0" fontId="14" fillId="0" borderId="12" xfId="0" applyFont="1" applyFill="1" applyBorder="1" applyAlignment="1">
      <alignment horizontal="center"/>
    </xf>
    <xf numFmtId="0" fontId="0" fillId="2" borderId="1" xfId="0" applyFill="1" applyBorder="1"/>
    <xf numFmtId="0" fontId="0" fillId="7" borderId="38" xfId="0" applyFill="1" applyBorder="1" applyAlignment="1">
      <alignment horizontal="center"/>
    </xf>
    <xf numFmtId="0" fontId="13" fillId="0" borderId="13" xfId="0" applyNumberFormat="1" applyFont="1" applyFill="1" applyBorder="1"/>
    <xf numFmtId="167" fontId="13" fillId="0" borderId="37" xfId="0" applyNumberFormat="1" applyFont="1" applyFill="1" applyBorder="1"/>
    <xf numFmtId="167" fontId="13" fillId="0" borderId="13" xfId="0" applyNumberFormat="1" applyFont="1" applyFill="1" applyBorder="1"/>
    <xf numFmtId="14" fontId="13" fillId="0" borderId="37" xfId="0" applyNumberFormat="1" applyFont="1" applyFill="1" applyBorder="1"/>
    <xf numFmtId="14" fontId="13" fillId="0" borderId="13" xfId="0" applyNumberFormat="1" applyFont="1" applyFill="1" applyBorder="1"/>
    <xf numFmtId="0" fontId="0" fillId="9" borderId="12" xfId="0" applyFont="1" applyFill="1" applyBorder="1" applyAlignment="1">
      <alignment horizontal="center"/>
    </xf>
    <xf numFmtId="0" fontId="0" fillId="9" borderId="7" xfId="0" applyFont="1" applyFill="1" applyBorder="1"/>
    <xf numFmtId="0" fontId="0" fillId="0" borderId="12" xfId="0" applyBorder="1" applyAlignment="1">
      <alignment horizontal="center"/>
    </xf>
    <xf numFmtId="0" fontId="0" fillId="0" borderId="7" xfId="0" applyBorder="1"/>
    <xf numFmtId="14" fontId="8" fillId="3" borderId="30" xfId="0" applyNumberFormat="1" applyFont="1" applyFill="1" applyBorder="1" applyAlignment="1">
      <alignment horizontal="center"/>
    </xf>
    <xf numFmtId="14" fontId="10" fillId="10" borderId="30" xfId="0" applyNumberFormat="1" applyFont="1" applyFill="1" applyBorder="1" applyAlignment="1">
      <alignment horizontal="center"/>
    </xf>
    <xf numFmtId="14" fontId="0" fillId="9" borderId="7" xfId="0" applyNumberFormat="1" applyFont="1" applyFill="1" applyBorder="1"/>
    <xf numFmtId="14" fontId="0" fillId="0" borderId="7" xfId="0" applyNumberFormat="1" applyBorder="1"/>
    <xf numFmtId="167" fontId="8" fillId="3" borderId="30" xfId="0" applyNumberFormat="1" applyFont="1" applyFill="1" applyBorder="1" applyAlignment="1">
      <alignment horizontal="center"/>
    </xf>
    <xf numFmtId="167" fontId="10" fillId="10" borderId="30" xfId="0" applyNumberFormat="1" applyFont="1" applyFill="1" applyBorder="1" applyAlignment="1">
      <alignment horizontal="center"/>
    </xf>
    <xf numFmtId="167" fontId="0" fillId="9" borderId="7" xfId="0" applyNumberFormat="1" applyFont="1" applyFill="1" applyBorder="1"/>
    <xf numFmtId="167" fontId="0" fillId="0" borderId="7" xfId="0" applyNumberFormat="1" applyBorder="1"/>
    <xf numFmtId="167" fontId="0" fillId="0" borderId="0" xfId="0" applyNumberFormat="1"/>
    <xf numFmtId="0" fontId="0" fillId="8" borderId="2" xfId="0" applyFill="1" applyBorder="1" applyAlignment="1">
      <alignment horizontal="center" vertical="center"/>
    </xf>
    <xf numFmtId="14" fontId="0" fillId="5" borderId="13" xfId="0" applyNumberFormat="1" applyFill="1" applyBorder="1" applyAlignment="1">
      <alignment horizontal="right"/>
    </xf>
    <xf numFmtId="164" fontId="0" fillId="5" borderId="13" xfId="0" applyNumberFormat="1" applyFill="1" applyBorder="1" applyAlignment="1">
      <alignment horizontal="right"/>
    </xf>
    <xf numFmtId="0" fontId="13" fillId="0" borderId="36" xfId="0" applyFont="1" applyFill="1" applyBorder="1" applyAlignment="1">
      <alignment horizontal="right"/>
    </xf>
    <xf numFmtId="0" fontId="13" fillId="0" borderId="12" xfId="0" applyFont="1" applyFill="1" applyBorder="1" applyAlignment="1">
      <alignment horizontal="right"/>
    </xf>
    <xf numFmtId="0" fontId="10" fillId="10" borderId="40" xfId="0" applyFont="1" applyFill="1" applyBorder="1" applyAlignment="1">
      <alignment horizontal="center"/>
    </xf>
    <xf numFmtId="0" fontId="10" fillId="10" borderId="41" xfId="0" applyFont="1" applyFill="1" applyBorder="1" applyAlignment="1">
      <alignment horizontal="center"/>
    </xf>
    <xf numFmtId="14" fontId="10" fillId="10" borderId="41" xfId="0" applyNumberFormat="1" applyFont="1" applyFill="1" applyBorder="1" applyAlignment="1">
      <alignment horizontal="center"/>
    </xf>
    <xf numFmtId="167" fontId="10" fillId="10" borderId="41" xfId="0" applyNumberFormat="1" applyFont="1" applyFill="1" applyBorder="1" applyAlignment="1">
      <alignment horizontal="center"/>
    </xf>
    <xf numFmtId="14" fontId="10" fillId="13" borderId="40" xfId="0" applyNumberFormat="1" applyFont="1" applyFill="1" applyBorder="1" applyAlignment="1">
      <alignment horizontal="center"/>
    </xf>
    <xf numFmtId="167" fontId="10" fillId="13" borderId="41" xfId="0" applyNumberFormat="1" applyFont="1" applyFill="1" applyBorder="1" applyAlignment="1">
      <alignment horizontal="center"/>
    </xf>
    <xf numFmtId="0" fontId="10" fillId="13" borderId="42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5" fillId="15" borderId="1" xfId="0" applyFont="1" applyFill="1" applyBorder="1" applyAlignment="1">
      <alignment vertic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7" borderId="2" xfId="0" applyFill="1" applyBorder="1" applyAlignment="1">
      <alignment horizontal="center"/>
    </xf>
    <xf numFmtId="164" fontId="0" fillId="0" borderId="4" xfId="2" applyNumberFormat="1" applyFont="1" applyFill="1" applyBorder="1" applyAlignment="1">
      <alignment horizontal="right"/>
    </xf>
    <xf numFmtId="164" fontId="0" fillId="0" borderId="7" xfId="2" applyNumberFormat="1" applyFont="1" applyFill="1" applyBorder="1" applyAlignment="1">
      <alignment horizontal="right"/>
    </xf>
    <xf numFmtId="164" fontId="0" fillId="0" borderId="24" xfId="2" applyNumberFormat="1" applyFont="1" applyFill="1" applyBorder="1" applyAlignment="1">
      <alignment horizontal="right"/>
    </xf>
    <xf numFmtId="164" fontId="0" fillId="0" borderId="10" xfId="2" applyNumberFormat="1" applyFont="1" applyFill="1" applyBorder="1" applyAlignment="1">
      <alignment horizontal="right"/>
    </xf>
    <xf numFmtId="0" fontId="0" fillId="5" borderId="13" xfId="0" applyFill="1" applyBorder="1" applyAlignment="1">
      <alignment horizontal="right"/>
    </xf>
    <xf numFmtId="0" fontId="0" fillId="7" borderId="44" xfId="0" applyFill="1" applyBorder="1" applyAlignment="1">
      <alignment horizontal="center"/>
    </xf>
    <xf numFmtId="0" fontId="0" fillId="2" borderId="43" xfId="0" applyFill="1" applyBorder="1"/>
    <xf numFmtId="2" fontId="0" fillId="16" borderId="0" xfId="0" applyNumberFormat="1" applyFill="1"/>
    <xf numFmtId="2" fontId="10" fillId="10" borderId="42" xfId="0" applyNumberFormat="1" applyFont="1" applyFill="1" applyBorder="1" applyAlignment="1">
      <alignment horizontal="center"/>
    </xf>
    <xf numFmtId="2" fontId="0" fillId="0" borderId="0" xfId="0" applyNumberFormat="1"/>
    <xf numFmtId="1" fontId="8" fillId="3" borderId="35" xfId="0" applyNumberFormat="1" applyFont="1" applyFill="1" applyBorder="1" applyAlignment="1">
      <alignment horizontal="center"/>
    </xf>
    <xf numFmtId="1" fontId="10" fillId="10" borderId="35" xfId="0" applyNumberFormat="1" applyFont="1" applyFill="1" applyBorder="1" applyAlignment="1">
      <alignment horizontal="center"/>
    </xf>
    <xf numFmtId="1" fontId="0" fillId="9" borderId="13" xfId="0" applyNumberFormat="1" applyFont="1" applyFill="1" applyBorder="1"/>
    <xf numFmtId="1" fontId="0" fillId="0" borderId="13" xfId="0" applyNumberFormat="1" applyBorder="1"/>
    <xf numFmtId="1" fontId="0" fillId="0" borderId="0" xfId="0" applyNumberFormat="1"/>
    <xf numFmtId="0" fontId="16" fillId="12" borderId="0" xfId="0" applyFont="1" applyFill="1" applyAlignment="1">
      <alignment vertical="center"/>
    </xf>
    <xf numFmtId="18" fontId="1" fillId="4" borderId="20" xfId="0" applyNumberFormat="1" applyFont="1" applyFill="1" applyBorder="1" applyAlignment="1">
      <alignment horizontal="center" vertical="center" wrapText="1"/>
    </xf>
    <xf numFmtId="1" fontId="13" fillId="0" borderId="37" xfId="0" applyNumberFormat="1" applyFont="1" applyFill="1" applyBorder="1"/>
    <xf numFmtId="1" fontId="13" fillId="0" borderId="13" xfId="0" applyNumberFormat="1" applyFont="1" applyFill="1" applyBorder="1"/>
    <xf numFmtId="0" fontId="4" fillId="6" borderId="0" xfId="0" applyFont="1" applyFill="1" applyAlignment="1">
      <alignment horizontal="center" vertical="center"/>
    </xf>
    <xf numFmtId="0" fontId="1" fillId="2" borderId="39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2" borderId="39" xfId="0" applyFont="1" applyFill="1" applyBorder="1" applyAlignment="1">
      <alignment horizontal="center" vertical="center"/>
    </xf>
    <xf numFmtId="0" fontId="9" fillId="11" borderId="31" xfId="0" applyFont="1" applyFill="1" applyBorder="1" applyAlignment="1">
      <alignment horizontal="center"/>
    </xf>
    <xf numFmtId="0" fontId="9" fillId="11" borderId="32" xfId="0" applyFont="1" applyFill="1" applyBorder="1" applyAlignment="1">
      <alignment horizontal="center"/>
    </xf>
    <xf numFmtId="0" fontId="9" fillId="11" borderId="33" xfId="0" applyFont="1" applyFill="1" applyBorder="1" applyAlignment="1">
      <alignment horizontal="center"/>
    </xf>
    <xf numFmtId="0" fontId="15" fillId="12" borderId="0" xfId="0" applyFont="1" applyFill="1" applyAlignment="1">
      <alignment horizontal="center" vertical="center"/>
    </xf>
    <xf numFmtId="0" fontId="15" fillId="12" borderId="39" xfId="0" applyFont="1" applyFill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11">
    <dxf>
      <fill>
        <patternFill>
          <bgColor rgb="FFE4ECF4"/>
        </patternFill>
      </fill>
    </dxf>
    <dxf>
      <font>
        <b val="0"/>
        <i/>
        <color theme="0" tint="-0.34998626667073579"/>
      </font>
    </dxf>
    <dxf>
      <font>
        <b val="0"/>
        <i/>
        <color theme="0" tint="-0.34998626667073579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 val="0"/>
        <i/>
        <color theme="0" tint="-0.34998626667073579"/>
      </font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-0.49803155613879818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E4ECF4"/>
      <color rgb="FFEAF0F6"/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hyperlink" Target="https://bit.ly/100WKBK-FreeWkbk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hyperlink" Target="https://youtu.be/kiQ5a_iJUcQ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hyperlink" Target="https://youtu.be/jZxbIwmdzIQ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252135</xdr:colOff>
      <xdr:row>0</xdr:row>
      <xdr:rowOff>114301</xdr:rowOff>
    </xdr:from>
    <xdr:to>
      <xdr:col>4</xdr:col>
      <xdr:colOff>906518</xdr:colOff>
      <xdr:row>0</xdr:row>
      <xdr:rowOff>314887</xdr:rowOff>
    </xdr:to>
    <xdr:sp macro="" textlink="">
      <xdr:nvSpPr>
        <xdr:cNvPr id="24" name="ItemSavedMesg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273859" y="114301"/>
          <a:ext cx="1028814" cy="200586"/>
        </a:xfrm>
        <a:prstGeom prst="round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0"/>
              </a:schemeClr>
            </a:gs>
            <a:gs pos="35000">
              <a:schemeClr val="accent6">
                <a:tint val="37000"/>
                <a:satMod val="300000"/>
                <a:alpha val="0"/>
              </a:schemeClr>
            </a:gs>
            <a:gs pos="100000">
              <a:schemeClr val="accent6">
                <a:tint val="15000"/>
                <a:satMod val="350000"/>
                <a:alpha val="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Item</a:t>
          </a:r>
          <a:r>
            <a:rPr lang="en-US" sz="1100" b="1" baseline="0"/>
            <a:t> Saved</a:t>
          </a:r>
          <a:endParaRPr lang="en-US" sz="1100" b="1"/>
        </a:p>
      </xdr:txBody>
    </xdr:sp>
    <xdr:clientData/>
  </xdr:twoCellAnchor>
  <xdr:twoCellAnchor editAs="oneCell">
    <xdr:from>
      <xdr:col>6</xdr:col>
      <xdr:colOff>9266</xdr:colOff>
      <xdr:row>3</xdr:row>
      <xdr:rowOff>81803</xdr:rowOff>
    </xdr:from>
    <xdr:to>
      <xdr:col>13</xdr:col>
      <xdr:colOff>57150</xdr:colOff>
      <xdr:row>10</xdr:row>
      <xdr:rowOff>85725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3562091" y="1043828"/>
          <a:ext cx="7144009" cy="1346947"/>
          <a:chOff x="4876541" y="805703"/>
          <a:chExt cx="7144009" cy="1346947"/>
        </a:xfrm>
      </xdr:grpSpPr>
      <xdr:sp macro="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4876541" y="895350"/>
            <a:ext cx="7144009" cy="1257300"/>
          </a:xfrm>
          <a:prstGeom prst="roundRect">
            <a:avLst>
              <a:gd name="adj" fmla="val 3823"/>
            </a:avLst>
          </a:prstGeom>
          <a:noFill/>
          <a:ln w="1905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5028638" y="805703"/>
            <a:ext cx="867337" cy="17537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solidFill>
                  <a:srgbClr val="0070C0"/>
                </a:solidFill>
              </a:rPr>
              <a:t>Item Info</a:t>
            </a:r>
          </a:p>
        </xdr:txBody>
      </xdr:sp>
    </xdr:grpSp>
    <xdr:clientData/>
  </xdr:twoCellAnchor>
  <xdr:twoCellAnchor>
    <xdr:from>
      <xdr:col>12</xdr:col>
      <xdr:colOff>122187</xdr:colOff>
      <xdr:row>4</xdr:row>
      <xdr:rowOff>153137</xdr:rowOff>
    </xdr:from>
    <xdr:to>
      <xdr:col>12</xdr:col>
      <xdr:colOff>1219480</xdr:colOff>
      <xdr:row>10</xdr:row>
      <xdr:rowOff>16827</xdr:rowOff>
    </xdr:to>
    <xdr:grpSp>
      <xdr:nvGrpSpPr>
        <xdr:cNvPr id="67" name="ExistItemGrp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9409062" y="1305662"/>
          <a:ext cx="1097293" cy="1016215"/>
          <a:chOff x="10868628" y="1038402"/>
          <a:chExt cx="1097293" cy="1006690"/>
        </a:xfrm>
      </xdr:grpSpPr>
      <xdr:grpSp>
        <xdr:nvGrpSpPr>
          <xdr:cNvPr id="49" name="NewItemBt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GrpSpPr/>
        </xdr:nvGrpSpPr>
        <xdr:grpSpPr>
          <a:xfrm>
            <a:off x="10868628" y="1038402"/>
            <a:ext cx="1097280" cy="274320"/>
            <a:chOff x="11448671" y="1089520"/>
            <a:chExt cx="1097280" cy="270854"/>
          </a:xfrm>
        </xdr:grpSpPr>
        <xdr:sp macro="[0]!NewItem" textlink="">
          <xdr:nvSpPr>
            <xdr:cNvPr id="5" name="Rounded Rectangl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11448671" y="1089520"/>
              <a:ext cx="1097280" cy="27085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/>
                <a:t>      New Item</a:t>
              </a:r>
            </a:p>
          </xdr:txBody>
        </xdr:sp>
        <xdr:pic macro="[0]!NewItem">
          <xdr:nvPicPr>
            <xdr:cNvPr id="43" name="Picture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18453" y="1126679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51" name="DeleteItemBtn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GrpSpPr/>
        </xdr:nvGrpSpPr>
        <xdr:grpSpPr>
          <a:xfrm>
            <a:off x="10868628" y="1770772"/>
            <a:ext cx="1097280" cy="274320"/>
            <a:chOff x="11426440" y="1821888"/>
            <a:chExt cx="1097280" cy="274320"/>
          </a:xfrm>
        </xdr:grpSpPr>
        <xdr:sp macro="[0]!DeleteItem" textlink="">
          <xdr:nvSpPr>
            <xdr:cNvPr id="23" name="Rounded Rectangle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11426440" y="1821888"/>
              <a:ext cx="1097280" cy="27432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Delete Item</a:t>
              </a:r>
            </a:p>
          </xdr:txBody>
        </xdr:sp>
        <xdr:pic macro="[0]!DeleteItem">
          <xdr:nvPicPr>
            <xdr:cNvPr id="44" name="Pictur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491875" y="1860634"/>
              <a:ext cx="231530" cy="228600"/>
            </a:xfrm>
            <a:prstGeom prst="rect">
              <a:avLst/>
            </a:prstGeom>
          </xdr:spPr>
        </xdr:pic>
      </xdr:grpSp>
      <xdr:grpSp>
        <xdr:nvGrpSpPr>
          <xdr:cNvPr id="50" name="UpdateItemBtn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10868641" y="1404587"/>
            <a:ext cx="1097280" cy="274320"/>
            <a:chOff x="12787265" y="1089520"/>
            <a:chExt cx="1097254" cy="270854"/>
          </a:xfrm>
        </xdr:grpSpPr>
        <xdr:sp macro="[0]!SaveUpdateItem" textlink="">
          <xdr:nvSpPr>
            <xdr:cNvPr id="30" name="Rounded Rectangl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12787265" y="1089520"/>
              <a:ext cx="1097254" cy="27085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Update Item</a:t>
              </a:r>
            </a:p>
          </xdr:txBody>
        </xdr:sp>
        <xdr:pic macro="[0]!SaveUpdateItem">
          <xdr:nvPicPr>
            <xdr:cNvPr id="47" name="Pictur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846016" y="1130999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12</xdr:col>
      <xdr:colOff>124655</xdr:colOff>
      <xdr:row>5</xdr:row>
      <xdr:rowOff>104754</xdr:rowOff>
    </xdr:from>
    <xdr:to>
      <xdr:col>12</xdr:col>
      <xdr:colOff>1227108</xdr:colOff>
      <xdr:row>9</xdr:row>
      <xdr:rowOff>44669</xdr:rowOff>
    </xdr:to>
    <xdr:grpSp>
      <xdr:nvGrpSpPr>
        <xdr:cNvPr id="65" name="NewItemGrp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9411530" y="1447779"/>
          <a:ext cx="1102453" cy="711440"/>
          <a:chOff x="12163565" y="1174485"/>
          <a:chExt cx="1100212" cy="701915"/>
        </a:xfrm>
      </xdr:grpSpPr>
      <xdr:grpSp>
        <xdr:nvGrpSpPr>
          <xdr:cNvPr id="62" name="Group 61" hidden="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GrpSpPr/>
        </xdr:nvGrpSpPr>
        <xdr:grpSpPr>
          <a:xfrm>
            <a:off x="12163565" y="1174485"/>
            <a:ext cx="1100212" cy="276655"/>
            <a:chOff x="12288958" y="419812"/>
            <a:chExt cx="1096091" cy="278487"/>
          </a:xfrm>
        </xdr:grpSpPr>
        <xdr:sp macro="[0]!SaveUpdateItem" textlink="">
          <xdr:nvSpPr>
            <xdr:cNvPr id="22" name="Rounded Rectangle 21" hidden="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12288958" y="419812"/>
              <a:ext cx="1096091" cy="278487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/>
                <a:t>      Save</a:t>
              </a:r>
              <a:r>
                <a:rPr lang="en-US" sz="1100" baseline="0"/>
                <a:t> Item</a:t>
              </a:r>
              <a:endParaRPr lang="en-US" sz="1100"/>
            </a:p>
          </xdr:txBody>
        </xdr:sp>
        <xdr:pic macro="[0]!SaveUpdateItem">
          <xdr:nvPicPr>
            <xdr:cNvPr id="42" name="Picture 41" hidden="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337256" y="458391"/>
              <a:ext cx="228600" cy="233363"/>
            </a:xfrm>
            <a:prstGeom prst="rect">
              <a:avLst/>
            </a:prstGeom>
          </xdr:spPr>
        </xdr:pic>
        <xdr:pic macro="[0]!SaveUpdateItem">
          <xdr:nvPicPr>
            <xdr:cNvPr id="8" name="Picture 7" hidden="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grayscl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417069" y="527472"/>
              <a:ext cx="173057" cy="150192"/>
            </a:xfrm>
            <a:prstGeom prst="rect">
              <a:avLst/>
            </a:prstGeom>
          </xdr:spPr>
        </xdr:pic>
      </xdr:grpSp>
      <xdr:grpSp>
        <xdr:nvGrpSpPr>
          <xdr:cNvPr id="64" name="Group 63" hidden="1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GrpSpPr/>
        </xdr:nvGrpSpPr>
        <xdr:grpSpPr>
          <a:xfrm>
            <a:off x="12165764" y="1599149"/>
            <a:ext cx="1095815" cy="277251"/>
            <a:chOff x="13854610" y="419514"/>
            <a:chExt cx="1094899" cy="279083"/>
          </a:xfrm>
        </xdr:grpSpPr>
        <xdr:sp macro="[0]!CancelNewItem" textlink="">
          <xdr:nvSpPr>
            <xdr:cNvPr id="25" name="Rounded Rectangle 24" hidden="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13854610" y="419514"/>
              <a:ext cx="1094899" cy="279083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Cancel</a:t>
              </a:r>
              <a:r>
                <a:rPr lang="en-US" sz="1100" baseline="0"/>
                <a:t> New</a:t>
              </a:r>
              <a:endParaRPr lang="en-US" sz="1100"/>
            </a:p>
          </xdr:txBody>
        </xdr:sp>
        <xdr:pic macro="[0]!CancelNewItem">
          <xdr:nvPicPr>
            <xdr:cNvPr id="63" name="Picture 62" hidden="1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888640" y="458391"/>
              <a:ext cx="228600" cy="233363"/>
            </a:xfrm>
            <a:prstGeom prst="rect">
              <a:avLst/>
            </a:prstGeom>
          </xdr:spPr>
        </xdr:pic>
        <xdr:pic macro="[0]!CancelNewItem">
          <xdr:nvPicPr>
            <xdr:cNvPr id="27" name="Picture 26" hidden="1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966037" y="521947"/>
              <a:ext cx="191463" cy="169627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180975</xdr:colOff>
      <xdr:row>0</xdr:row>
      <xdr:rowOff>0</xdr:rowOff>
    </xdr:from>
    <xdr:to>
      <xdr:col>7</xdr:col>
      <xdr:colOff>66675</xdr:colOff>
      <xdr:row>1</xdr:row>
      <xdr:rowOff>151086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0"/>
          <a:ext cx="685800" cy="684486"/>
        </a:xfrm>
        <a:prstGeom prst="rect">
          <a:avLst/>
        </a:prstGeom>
      </xdr:spPr>
    </xdr:pic>
    <xdr:clientData/>
  </xdr:twoCellAnchor>
  <xdr:twoCellAnchor>
    <xdr:from>
      <xdr:col>6</xdr:col>
      <xdr:colOff>20799</xdr:colOff>
      <xdr:row>7</xdr:row>
      <xdr:rowOff>187966</xdr:rowOff>
    </xdr:from>
    <xdr:to>
      <xdr:col>6</xdr:col>
      <xdr:colOff>473046</xdr:colOff>
      <xdr:row>10</xdr:row>
      <xdr:rowOff>36603</xdr:rowOff>
    </xdr:to>
    <xdr:grpSp>
      <xdr:nvGrpSpPr>
        <xdr:cNvPr id="73" name="OpenFilterBtn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3573624" y="1911991"/>
          <a:ext cx="452247" cy="429662"/>
          <a:chOff x="3320420" y="1629642"/>
          <a:chExt cx="453385" cy="420137"/>
        </a:xfrm>
      </xdr:grpSpPr>
      <xdr:sp macro="[0]!ShowFilters" textlink="">
        <xdr:nvSpPr>
          <xdr:cNvPr id="72" name="Rounded Rectangle 71" hidden="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362325" y="1638299"/>
            <a:ext cx="411480" cy="411480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70" name="Group 69" hidden="1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GrpSpPr/>
        </xdr:nvGrpSpPr>
        <xdr:grpSpPr>
          <a:xfrm>
            <a:off x="3320420" y="1629642"/>
            <a:ext cx="419930" cy="405523"/>
            <a:chOff x="4206245" y="1410567"/>
            <a:chExt cx="419930" cy="405523"/>
          </a:xfrm>
        </xdr:grpSpPr>
        <xdr:pic macro="[0]!ShowFilters">
          <xdr:nvPicPr>
            <xdr:cNvPr id="68" name="Picture 67" hidden="1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82065" y="1567881"/>
              <a:ext cx="244110" cy="248209"/>
            </a:xfrm>
            <a:prstGeom prst="rect">
              <a:avLst/>
            </a:prstGeom>
          </xdr:spPr>
        </xdr:pic>
        <xdr:pic macro="[0]!ShowFilters">
          <xdr:nvPicPr>
            <xdr:cNvPr id="69" name="Picture 68" hidden="1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206245" y="1410567"/>
              <a:ext cx="379267" cy="37926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88317</xdr:colOff>
      <xdr:row>0</xdr:row>
      <xdr:rowOff>340297</xdr:rowOff>
    </xdr:from>
    <xdr:to>
      <xdr:col>4</xdr:col>
      <xdr:colOff>786943</xdr:colOff>
      <xdr:row>1</xdr:row>
      <xdr:rowOff>59038</xdr:rowOff>
    </xdr:to>
    <xdr:grpSp>
      <xdr:nvGrpSpPr>
        <xdr:cNvPr id="3" name="CloseFilterBt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050467" y="340297"/>
          <a:ext cx="1108201" cy="252141"/>
          <a:chOff x="3233731" y="956021"/>
          <a:chExt cx="1107791" cy="248080"/>
        </a:xfrm>
      </xdr:grpSpPr>
      <xdr:sp macro="[0]!HideFilters" textlink="">
        <xdr:nvSpPr>
          <xdr:cNvPr id="76" name="Rounded Rectangle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/>
        </xdr:nvSpPr>
        <xdr:spPr>
          <a:xfrm>
            <a:off x="3242693" y="956021"/>
            <a:ext cx="1098829" cy="248080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      Close</a:t>
            </a:r>
            <a:r>
              <a:rPr lang="en-US" sz="1100" baseline="0">
                <a:solidFill>
                  <a:sysClr val="windowText" lastClr="000000"/>
                </a:solidFill>
              </a:rPr>
              <a:t> Filters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pic macro="[0]!HideFilters">
        <xdr:nvPicPr>
          <xdr:cNvPr id="78" name="Picture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3731" y="967266"/>
            <a:ext cx="219729" cy="198767"/>
          </a:xfrm>
          <a:prstGeom prst="rect">
            <a:avLst/>
          </a:prstGeom>
        </xdr:spPr>
      </xdr:pic>
      <xdr:pic macro="[0]!HideFilters"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5553" y="1060678"/>
            <a:ext cx="124579" cy="125185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93658</xdr:colOff>
      <xdr:row>3</xdr:row>
      <xdr:rowOff>54878</xdr:rowOff>
    </xdr:from>
    <xdr:to>
      <xdr:col>4</xdr:col>
      <xdr:colOff>781602</xdr:colOff>
      <xdr:row>4</xdr:row>
      <xdr:rowOff>108060</xdr:rowOff>
    </xdr:to>
    <xdr:grpSp>
      <xdr:nvGrpSpPr>
        <xdr:cNvPr id="6" name="ClearFilterBt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055808" y="1016903"/>
          <a:ext cx="1097519" cy="243682"/>
          <a:chOff x="3357825" y="236883"/>
          <a:chExt cx="1102728" cy="248080"/>
        </a:xfrm>
      </xdr:grpSpPr>
      <xdr:sp macro="[0]!ClearFilters" textlink="">
        <xdr:nvSpPr>
          <xdr:cNvPr id="48" name="Rounded 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357825" y="236883"/>
            <a:ext cx="1102728" cy="248080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     Clear Filter</a:t>
            </a:r>
          </a:p>
        </xdr:txBody>
      </xdr:sp>
      <xdr:pic macro="[0]!ClearFilters">
        <xdr:nvPicPr>
          <xdr:cNvPr id="92" name="Picture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58836" y="242992"/>
            <a:ext cx="217648" cy="218084"/>
          </a:xfrm>
          <a:prstGeom prst="rect">
            <a:avLst/>
          </a:prstGeom>
        </xdr:spPr>
      </xdr:pic>
      <xdr:pic macro="[0]!ClearFilters">
        <xdr:nvPicPr>
          <xdr:cNvPr id="91" name="Picture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545" y="347071"/>
            <a:ext cx="136483" cy="123335"/>
          </a:xfrm>
          <a:prstGeom prst="rect">
            <a:avLst/>
          </a:prstGeom>
        </xdr:spPr>
      </xdr:pic>
    </xdr:grpSp>
    <xdr:clientData/>
  </xdr:twoCellAnchor>
  <xdr:twoCellAnchor editAs="oneCell">
    <xdr:from>
      <xdr:col>17</xdr:col>
      <xdr:colOff>45358</xdr:colOff>
      <xdr:row>12</xdr:row>
      <xdr:rowOff>0</xdr:rowOff>
    </xdr:from>
    <xdr:to>
      <xdr:col>21</xdr:col>
      <xdr:colOff>426187</xdr:colOff>
      <xdr:row>35</xdr:row>
      <xdr:rowOff>32443</xdr:rowOff>
    </xdr:to>
    <xdr:pic>
      <xdr:nvPicPr>
        <xdr:cNvPr id="46" name="Picture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1DB2145-3C5B-4E2A-BA48-407190249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97620" y="2676071"/>
          <a:ext cx="3283686" cy="4235539"/>
        </a:xfrm>
        <a:prstGeom prst="rect">
          <a:avLst/>
        </a:prstGeom>
      </xdr:spPr>
    </xdr:pic>
    <xdr:clientData/>
  </xdr:twoCellAnchor>
  <xdr:twoCellAnchor>
    <xdr:from>
      <xdr:col>13</xdr:col>
      <xdr:colOff>180975</xdr:colOff>
      <xdr:row>0</xdr:row>
      <xdr:rowOff>85725</xdr:rowOff>
    </xdr:from>
    <xdr:to>
      <xdr:col>18</xdr:col>
      <xdr:colOff>400050</xdr:colOff>
      <xdr:row>1</xdr:row>
      <xdr:rowOff>142874</xdr:rowOff>
    </xdr:to>
    <xdr:grpSp>
      <xdr:nvGrpSpPr>
        <xdr:cNvPr id="40" name="YouTubeLink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5E090AE-9192-4CA1-8F08-926C1526ACE3}"/>
            </a:ext>
          </a:extLst>
        </xdr:cNvPr>
        <xdr:cNvGrpSpPr/>
      </xdr:nvGrpSpPr>
      <xdr:grpSpPr>
        <a:xfrm>
          <a:off x="10829925" y="85725"/>
          <a:ext cx="2066925" cy="590549"/>
          <a:chOff x="10267950" y="76200"/>
          <a:chExt cx="2066925" cy="590549"/>
        </a:xfrm>
      </xdr:grpSpPr>
      <xdr:sp macro="" textlink="">
        <xdr:nvSpPr>
          <xdr:cNvPr id="45" name="Rounded Rectangle 1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89751B5E-7380-4BCE-9645-E55366D251CE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52" name="Isosceles Triangle 51">
            <a:extLst>
              <a:ext uri="{FF2B5EF4-FFF2-40B4-BE49-F238E27FC236}">
                <a16:creationId xmlns:a16="http://schemas.microsoft.com/office/drawing/2014/main" id="{841D95FE-B0AB-4191-97B3-4647FF32B06C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D305"/>
  <sheetViews>
    <sheetView showGridLines="0" tabSelected="1" zoomScaleNormal="100" workbookViewId="0">
      <selection activeCell="AF91" sqref="AF91"/>
    </sheetView>
  </sheetViews>
  <sheetFormatPr defaultRowHeight="15"/>
  <cols>
    <col min="1" max="1" width="13.5703125" style="6" customWidth="1"/>
    <col min="2" max="2" width="6.140625" style="6" bestFit="1" customWidth="1"/>
    <col min="3" max="3" width="9.7109375" customWidth="1"/>
    <col min="4" max="4" width="6.140625" style="6" customWidth="1"/>
    <col min="5" max="5" width="13.7109375" customWidth="1"/>
    <col min="6" max="6" width="4" customWidth="1"/>
    <col min="7" max="7" width="8" bestFit="1" customWidth="1"/>
    <col min="8" max="8" width="20.140625" style="4" bestFit="1" customWidth="1"/>
    <col min="9" max="9" width="19.42578125" bestFit="1" customWidth="1"/>
    <col min="10" max="10" width="10.85546875" bestFit="1" customWidth="1"/>
    <col min="11" max="11" width="13.7109375" bestFit="1" customWidth="1"/>
    <col min="12" max="12" width="13.85546875" customWidth="1"/>
    <col min="13" max="13" width="20.42578125" customWidth="1"/>
    <col min="14" max="14" width="3.85546875" customWidth="1"/>
    <col min="15" max="15" width="2.7109375" customWidth="1"/>
    <col min="16" max="16" width="3.7109375" customWidth="1"/>
    <col min="17" max="17" width="6.5703125" customWidth="1"/>
    <col min="18" max="18" width="10.85546875" bestFit="1" customWidth="1"/>
    <col min="20" max="20" width="7.85546875" customWidth="1"/>
    <col min="21" max="21" width="14.28515625" bestFit="1" customWidth="1"/>
    <col min="22" max="22" width="12" customWidth="1"/>
    <col min="23" max="23" width="7.140625" customWidth="1"/>
    <col min="24" max="24" width="6.140625" bestFit="1" customWidth="1"/>
    <col min="25" max="25" width="16.5703125" customWidth="1"/>
    <col min="26" max="26" width="3.85546875" customWidth="1"/>
    <col min="27" max="27" width="4.42578125" customWidth="1"/>
    <col min="28" max="28" width="18.28515625" customWidth="1"/>
  </cols>
  <sheetData>
    <row r="1" spans="1:30" ht="42" customHeight="1">
      <c r="A1" s="73" t="s">
        <v>1</v>
      </c>
      <c r="B1" s="73">
        <v>33</v>
      </c>
      <c r="C1" s="17" t="s">
        <v>0</v>
      </c>
      <c r="D1" s="17" t="s">
        <v>0</v>
      </c>
      <c r="E1" s="17" t="s">
        <v>0</v>
      </c>
      <c r="F1" s="112" t="s">
        <v>3</v>
      </c>
      <c r="G1" s="112"/>
      <c r="H1" s="112"/>
      <c r="I1" s="112"/>
      <c r="J1" s="112"/>
      <c r="K1" s="112"/>
      <c r="L1" s="112"/>
      <c r="M1" s="112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"/>
    </row>
    <row r="2" spans="1:30" ht="18.75" customHeight="1">
      <c r="A2" s="73" t="s">
        <v>44</v>
      </c>
      <c r="B2" s="73" t="s">
        <v>96</v>
      </c>
      <c r="C2" s="99" t="s">
        <v>0</v>
      </c>
      <c r="D2" s="1"/>
      <c r="E2" s="1"/>
      <c r="F2" s="7"/>
      <c r="G2" s="1"/>
      <c r="H2" s="118"/>
      <c r="I2" s="118"/>
      <c r="J2" s="118"/>
      <c r="K2" s="118"/>
      <c r="L2" s="118"/>
      <c r="M2" s="118"/>
      <c r="N2" s="1"/>
      <c r="O2" s="1"/>
      <c r="P2" s="1"/>
      <c r="Q2" s="1"/>
      <c r="R2" s="1"/>
      <c r="S2" s="1"/>
      <c r="T2" s="7"/>
      <c r="U2" s="9"/>
      <c r="V2" s="7"/>
      <c r="W2" s="7"/>
      <c r="X2" s="7"/>
      <c r="Y2" s="7"/>
      <c r="Z2" s="7"/>
      <c r="AA2" s="7"/>
      <c r="AB2" s="7"/>
      <c r="AC2" s="1"/>
      <c r="AD2" s="1"/>
    </row>
    <row r="3" spans="1:30" ht="15" customHeight="1">
      <c r="A3" s="73" t="s">
        <v>45</v>
      </c>
      <c r="B3" s="73">
        <f ca="1">MAX(ItemID)+1</f>
        <v>1</v>
      </c>
      <c r="C3" s="99" t="s">
        <v>0</v>
      </c>
      <c r="D3" s="1"/>
      <c r="E3" s="1"/>
      <c r="F3" s="7"/>
      <c r="G3" s="98"/>
      <c r="H3" s="54" t="s">
        <v>49</v>
      </c>
      <c r="I3" s="54" t="s">
        <v>50</v>
      </c>
      <c r="J3" s="54" t="s">
        <v>51</v>
      </c>
      <c r="K3" s="54" t="s">
        <v>52</v>
      </c>
      <c r="L3" s="54" t="s">
        <v>55</v>
      </c>
      <c r="M3" s="54" t="s">
        <v>54</v>
      </c>
      <c r="N3" s="7"/>
      <c r="O3" s="1"/>
      <c r="P3" s="1"/>
      <c r="Q3" s="1"/>
      <c r="R3" s="1"/>
      <c r="S3" s="1"/>
      <c r="T3" s="7"/>
      <c r="U3" s="8"/>
      <c r="V3" s="8"/>
      <c r="W3" s="8"/>
      <c r="X3" s="8"/>
      <c r="Y3" s="8"/>
      <c r="Z3" s="8"/>
      <c r="AA3" s="7"/>
      <c r="AB3" s="7"/>
      <c r="AC3" s="1"/>
      <c r="AD3" s="1"/>
    </row>
    <row r="4" spans="1:30" ht="15" customHeight="1">
      <c r="A4" s="73" t="s">
        <v>56</v>
      </c>
      <c r="B4" s="73">
        <f ca="1">IFERROR(MATCH(B2,ItemID,0)+3,"")</f>
        <v>24</v>
      </c>
      <c r="C4" s="99" t="s">
        <v>0</v>
      </c>
      <c r="D4" s="1"/>
      <c r="E4" s="1"/>
      <c r="F4" s="7"/>
      <c r="G4" s="1"/>
      <c r="H4" s="1"/>
      <c r="I4" s="1"/>
      <c r="J4" s="1"/>
      <c r="K4" s="1"/>
      <c r="L4" s="1"/>
      <c r="M4" s="1"/>
      <c r="N4" s="7"/>
      <c r="O4" s="1"/>
      <c r="P4" s="1"/>
      <c r="Q4" s="1"/>
      <c r="R4" s="1"/>
      <c r="S4" s="1"/>
      <c r="T4" s="1"/>
      <c r="U4" s="1"/>
      <c r="V4" s="1"/>
      <c r="W4" s="7"/>
      <c r="X4" s="114" t="s">
        <v>58</v>
      </c>
      <c r="Y4" s="114"/>
      <c r="Z4" s="7"/>
      <c r="AA4" s="8"/>
      <c r="AB4" s="7"/>
      <c r="AC4" s="1"/>
      <c r="AD4" s="1"/>
    </row>
    <row r="5" spans="1:30" ht="15" customHeight="1">
      <c r="A5" s="73" t="s">
        <v>57</v>
      </c>
      <c r="B5" s="73" t="b">
        <v>0</v>
      </c>
      <c r="C5" s="99" t="s">
        <v>0</v>
      </c>
      <c r="D5" s="1"/>
      <c r="E5" s="1"/>
      <c r="F5" s="7"/>
      <c r="G5" s="1"/>
      <c r="H5" s="3"/>
      <c r="I5" s="1"/>
      <c r="J5" s="1"/>
      <c r="K5" s="1"/>
      <c r="L5" s="1"/>
      <c r="M5" s="46"/>
      <c r="N5" s="7"/>
      <c r="O5" s="1"/>
      <c r="P5" s="1"/>
      <c r="Q5" s="1"/>
      <c r="R5" s="115" t="s">
        <v>2</v>
      </c>
      <c r="S5" s="116"/>
      <c r="T5" s="116"/>
      <c r="U5" s="116"/>
      <c r="V5" s="117"/>
      <c r="W5" s="7"/>
      <c r="X5" s="113" t="s">
        <v>59</v>
      </c>
      <c r="Y5" s="113"/>
      <c r="Z5" s="7"/>
      <c r="AA5" s="7" t="s">
        <v>0</v>
      </c>
      <c r="AB5" s="7" t="s">
        <v>0</v>
      </c>
      <c r="AC5" s="1"/>
      <c r="AD5" s="1"/>
    </row>
    <row r="6" spans="1:30" ht="15" customHeight="1">
      <c r="A6" s="88" t="s">
        <v>70</v>
      </c>
      <c r="B6" s="87">
        <v>27</v>
      </c>
      <c r="C6" s="1" t="s">
        <v>0</v>
      </c>
      <c r="D6" s="51" t="s">
        <v>9</v>
      </c>
      <c r="E6" s="55" t="s">
        <v>66</v>
      </c>
      <c r="F6" s="1"/>
      <c r="G6" s="1"/>
      <c r="H6" s="15" t="s">
        <v>72</v>
      </c>
      <c r="I6" s="14" t="s">
        <v>25</v>
      </c>
      <c r="J6" s="1"/>
      <c r="K6" s="15" t="s">
        <v>38</v>
      </c>
      <c r="L6" s="74">
        <v>43232</v>
      </c>
      <c r="M6" s="7"/>
      <c r="N6" s="7"/>
      <c r="O6" s="1"/>
      <c r="P6" s="1"/>
      <c r="Q6" s="1"/>
      <c r="R6" s="34" t="s">
        <v>5</v>
      </c>
      <c r="S6" s="35">
        <v>2</v>
      </c>
      <c r="T6" s="7"/>
      <c r="U6" s="34" t="s">
        <v>38</v>
      </c>
      <c r="V6" s="35">
        <v>5</v>
      </c>
      <c r="W6" s="1"/>
      <c r="X6" s="51" t="s">
        <v>9</v>
      </c>
      <c r="Y6" s="55"/>
      <c r="Z6" s="1"/>
      <c r="AA6" s="7" t="s">
        <v>0</v>
      </c>
      <c r="AB6" s="7" t="s">
        <v>0</v>
      </c>
      <c r="AC6" s="1"/>
      <c r="AD6" s="1"/>
    </row>
    <row r="7" spans="1:30">
      <c r="A7" s="88">
        <v>18</v>
      </c>
      <c r="B7" s="87"/>
      <c r="C7" s="1" t="s">
        <v>0</v>
      </c>
      <c r="D7" s="1"/>
      <c r="E7" s="1"/>
      <c r="F7" s="1"/>
      <c r="G7" s="1"/>
      <c r="H7" s="16">
        <f>COLUMN()</f>
        <v>8</v>
      </c>
      <c r="I7" s="1"/>
      <c r="J7" s="1"/>
      <c r="K7" s="16"/>
      <c r="L7" s="1"/>
      <c r="M7" s="46"/>
      <c r="N7" s="7"/>
      <c r="O7" s="1"/>
      <c r="P7" s="1"/>
      <c r="Q7" s="1"/>
      <c r="R7" s="32"/>
      <c r="S7" s="5"/>
      <c r="T7" s="1"/>
      <c r="U7" s="32"/>
      <c r="V7" s="5"/>
      <c r="W7" s="1"/>
      <c r="X7" s="1"/>
      <c r="Y7" s="1"/>
      <c r="Z7" s="1"/>
      <c r="AA7" s="7" t="s">
        <v>0</v>
      </c>
      <c r="AB7" s="7" t="s">
        <v>0</v>
      </c>
      <c r="AC7" s="1"/>
      <c r="AD7" s="1"/>
    </row>
    <row r="8" spans="1:30" ht="15.75">
      <c r="A8" s="92" t="s">
        <v>75</v>
      </c>
      <c r="B8" s="87">
        <v>28</v>
      </c>
      <c r="C8" s="1" t="s">
        <v>0</v>
      </c>
      <c r="D8" s="51" t="s">
        <v>9</v>
      </c>
      <c r="E8" s="55" t="s">
        <v>67</v>
      </c>
      <c r="F8" s="1"/>
      <c r="G8" s="1"/>
      <c r="H8" s="15" t="s">
        <v>73</v>
      </c>
      <c r="I8" s="14" t="s">
        <v>14</v>
      </c>
      <c r="J8" s="1"/>
      <c r="K8" s="15" t="s">
        <v>53</v>
      </c>
      <c r="L8" s="75">
        <v>72</v>
      </c>
      <c r="M8" s="7"/>
      <c r="N8" s="7"/>
      <c r="O8" s="1"/>
      <c r="P8" s="1"/>
      <c r="Q8" s="1"/>
      <c r="R8" s="33" t="s">
        <v>36</v>
      </c>
      <c r="S8" s="36">
        <v>3</v>
      </c>
      <c r="T8" s="1"/>
      <c r="U8" s="33" t="s">
        <v>53</v>
      </c>
      <c r="V8" s="36">
        <v>6</v>
      </c>
      <c r="W8" s="1"/>
      <c r="X8" s="1"/>
      <c r="Y8" s="1" t="s">
        <v>60</v>
      </c>
      <c r="Z8" s="1"/>
      <c r="AA8" s="7" t="s">
        <v>0</v>
      </c>
      <c r="AB8" s="7" t="s">
        <v>0</v>
      </c>
      <c r="AC8" s="1"/>
      <c r="AD8" s="1"/>
    </row>
    <row r="9" spans="1:30">
      <c r="A9" s="92" t="b">
        <v>0</v>
      </c>
      <c r="B9" s="87"/>
      <c r="C9" s="1" t="s">
        <v>0</v>
      </c>
      <c r="D9" s="1"/>
      <c r="E9" s="1" t="s">
        <v>6</v>
      </c>
      <c r="F9" s="1"/>
      <c r="G9" s="1"/>
      <c r="H9" s="16"/>
      <c r="I9" s="1"/>
      <c r="J9" s="1"/>
      <c r="K9" s="16"/>
      <c r="L9" s="1"/>
      <c r="M9" s="46"/>
      <c r="N9" s="7"/>
      <c r="O9" s="1"/>
      <c r="P9" s="1"/>
      <c r="Q9" s="1"/>
      <c r="R9" s="32"/>
      <c r="S9" s="5"/>
      <c r="T9" s="1"/>
      <c r="U9" s="32"/>
      <c r="V9" s="5"/>
      <c r="W9" s="1"/>
      <c r="X9" s="52" t="s">
        <v>71</v>
      </c>
      <c r="Y9" s="55"/>
      <c r="Z9" s="1"/>
      <c r="AA9" s="7" t="s">
        <v>0</v>
      </c>
      <c r="AB9" s="7" t="s">
        <v>0</v>
      </c>
      <c r="AC9" s="1"/>
      <c r="AD9" s="1"/>
    </row>
    <row r="10" spans="1:30">
      <c r="A10" s="31"/>
      <c r="B10" s="87" t="s">
        <v>6</v>
      </c>
      <c r="C10" s="1" t="s">
        <v>0</v>
      </c>
      <c r="D10" s="52" t="s">
        <v>71</v>
      </c>
      <c r="E10" s="55" t="s">
        <v>14</v>
      </c>
      <c r="F10" s="1"/>
      <c r="G10" s="1"/>
      <c r="H10" s="15" t="s">
        <v>74</v>
      </c>
      <c r="I10" s="20" t="s">
        <v>28</v>
      </c>
      <c r="J10" s="1"/>
      <c r="K10" s="15" t="s">
        <v>43</v>
      </c>
      <c r="L10" s="97">
        <v>49</v>
      </c>
      <c r="M10" s="8"/>
      <c r="N10" s="7"/>
      <c r="O10" s="1"/>
      <c r="P10" s="1"/>
      <c r="Q10" s="1"/>
      <c r="R10" s="33" t="s">
        <v>37</v>
      </c>
      <c r="S10" s="36">
        <v>4</v>
      </c>
      <c r="T10" s="1"/>
      <c r="U10" s="33" t="s">
        <v>43</v>
      </c>
      <c r="V10" s="36">
        <v>7</v>
      </c>
      <c r="W10" s="1"/>
      <c r="X10" s="1"/>
      <c r="Y10" s="1"/>
      <c r="Z10" s="1"/>
      <c r="AA10" s="7" t="s">
        <v>0</v>
      </c>
      <c r="AB10" s="7" t="s">
        <v>0</v>
      </c>
      <c r="AC10" s="1"/>
      <c r="AD10" s="1"/>
    </row>
    <row r="11" spans="1:30" ht="15" customHeight="1" thickBot="1">
      <c r="A11" s="31"/>
      <c r="B11" s="87" t="s">
        <v>6</v>
      </c>
      <c r="C11" s="1"/>
      <c r="D11" s="52" t="s">
        <v>71</v>
      </c>
      <c r="E11" s="55" t="s">
        <v>17</v>
      </c>
      <c r="F11" s="1"/>
      <c r="G11" s="1"/>
      <c r="H11" s="53"/>
      <c r="I11" s="53"/>
      <c r="J11" s="53"/>
      <c r="K11" s="53"/>
      <c r="L11" s="53"/>
      <c r="M11" s="53"/>
      <c r="N11" s="1"/>
      <c r="O11" s="1"/>
      <c r="P11" s="1"/>
      <c r="Q11" s="1"/>
      <c r="R11" s="1"/>
      <c r="S11" s="5"/>
      <c r="T11" s="1"/>
      <c r="U11" s="1"/>
      <c r="V11" s="5"/>
      <c r="W11" s="1"/>
      <c r="X11" s="1"/>
      <c r="Y11" s="1" t="s">
        <v>61</v>
      </c>
      <c r="Z11" s="1"/>
      <c r="AA11" s="7" t="s">
        <v>0</v>
      </c>
      <c r="AB11" s="7" t="s">
        <v>0</v>
      </c>
      <c r="AC11" s="1"/>
      <c r="AD11" s="1"/>
    </row>
    <row r="12" spans="1:30" ht="15.75" thickBot="1">
      <c r="A12" s="31"/>
      <c r="B12" s="87" t="s">
        <v>6</v>
      </c>
      <c r="C12" s="1" t="s">
        <v>0</v>
      </c>
      <c r="D12" s="52" t="s">
        <v>71</v>
      </c>
      <c r="E12" s="55" t="s">
        <v>16</v>
      </c>
      <c r="F12" s="1"/>
      <c r="G12" s="109" t="s">
        <v>4</v>
      </c>
      <c r="H12" s="24" t="s">
        <v>10</v>
      </c>
      <c r="I12" s="18" t="s">
        <v>6</v>
      </c>
      <c r="J12" s="18" t="s">
        <v>7</v>
      </c>
      <c r="K12" s="18" t="s">
        <v>8</v>
      </c>
      <c r="L12" s="18" t="s">
        <v>42</v>
      </c>
      <c r="M12" s="19" t="s">
        <v>39</v>
      </c>
      <c r="N12" s="7"/>
      <c r="O12" s="1"/>
      <c r="P12" s="1"/>
      <c r="Q12" s="1"/>
      <c r="R12" s="1"/>
      <c r="S12" s="1"/>
      <c r="T12" s="1"/>
      <c r="U12" s="1"/>
      <c r="V12" s="5"/>
      <c r="W12" s="1"/>
      <c r="X12" s="76" t="s">
        <v>34</v>
      </c>
      <c r="Y12" s="58"/>
      <c r="Z12" s="1"/>
      <c r="AA12" s="7" t="s">
        <v>0</v>
      </c>
      <c r="AB12" s="7" t="s">
        <v>0</v>
      </c>
      <c r="AC12" s="1"/>
      <c r="AD12" s="1"/>
    </row>
    <row r="13" spans="1:30">
      <c r="A13" s="31"/>
      <c r="B13" s="87" t="s">
        <v>6</v>
      </c>
      <c r="C13" s="1" t="s">
        <v>0</v>
      </c>
      <c r="D13" s="52" t="s">
        <v>71</v>
      </c>
      <c r="E13" s="55" t="s">
        <v>18</v>
      </c>
      <c r="F13" s="1"/>
      <c r="G13" s="25" t="s">
        <v>76</v>
      </c>
      <c r="H13" s="21" t="s">
        <v>21</v>
      </c>
      <c r="I13" s="11" t="s">
        <v>14</v>
      </c>
      <c r="J13" s="11" t="s">
        <v>26</v>
      </c>
      <c r="K13" s="37">
        <v>43102</v>
      </c>
      <c r="L13" s="93">
        <v>10</v>
      </c>
      <c r="M13" s="47">
        <v>20</v>
      </c>
      <c r="N13" s="7"/>
      <c r="O13" s="1"/>
      <c r="P13" s="1"/>
      <c r="Q13" s="1"/>
      <c r="R13" s="1"/>
      <c r="S13" s="1"/>
      <c r="T13" s="1"/>
      <c r="U13" s="1"/>
      <c r="V13" s="1"/>
      <c r="W13" s="1"/>
      <c r="X13" s="77" t="s">
        <v>35</v>
      </c>
      <c r="Y13" s="59"/>
      <c r="Z13" s="1"/>
      <c r="AA13" s="7" t="s">
        <v>0</v>
      </c>
      <c r="AB13" s="7" t="s">
        <v>0</v>
      </c>
      <c r="AC13" s="1"/>
      <c r="AD13" s="1"/>
    </row>
    <row r="14" spans="1:30">
      <c r="A14" s="31"/>
      <c r="B14" s="87" t="s">
        <v>6</v>
      </c>
      <c r="C14" s="1"/>
      <c r="D14" s="52" t="s">
        <v>71</v>
      </c>
      <c r="E14" s="55" t="s">
        <v>68</v>
      </c>
      <c r="F14" s="1"/>
      <c r="G14" s="26" t="s">
        <v>77</v>
      </c>
      <c r="H14" s="22" t="s">
        <v>22</v>
      </c>
      <c r="I14" s="12" t="s">
        <v>17</v>
      </c>
      <c r="J14" s="12" t="s">
        <v>111</v>
      </c>
      <c r="K14" s="38">
        <v>43465</v>
      </c>
      <c r="L14" s="94">
        <v>100</v>
      </c>
      <c r="M14" s="48">
        <v>144</v>
      </c>
      <c r="N14" s="7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7" t="s">
        <v>0</v>
      </c>
      <c r="AB14" s="7" t="s">
        <v>0</v>
      </c>
      <c r="AC14" s="1"/>
      <c r="AD14" s="1"/>
    </row>
    <row r="15" spans="1:30">
      <c r="A15" s="31"/>
      <c r="B15" s="87" t="s">
        <v>6</v>
      </c>
      <c r="C15" s="1"/>
      <c r="D15" s="52" t="s">
        <v>71</v>
      </c>
      <c r="E15" s="55" t="s">
        <v>15</v>
      </c>
      <c r="F15" s="1"/>
      <c r="G15" s="26" t="s">
        <v>78</v>
      </c>
      <c r="H15" s="22" t="s">
        <v>20</v>
      </c>
      <c r="I15" s="12" t="s">
        <v>16</v>
      </c>
      <c r="J15" s="12" t="s">
        <v>28</v>
      </c>
      <c r="K15" s="38">
        <v>43343</v>
      </c>
      <c r="L15" s="94">
        <v>25</v>
      </c>
      <c r="M15" s="48">
        <v>114</v>
      </c>
      <c r="N15" s="7"/>
      <c r="O15" s="1"/>
      <c r="P15" s="1"/>
      <c r="Q15" s="1"/>
      <c r="R15" s="1"/>
      <c r="S15" s="1"/>
      <c r="T15" s="1"/>
      <c r="U15" s="1"/>
      <c r="V15" s="1"/>
      <c r="W15" s="1"/>
      <c r="X15" s="1"/>
      <c r="Y15" s="1" t="s">
        <v>62</v>
      </c>
      <c r="Z15" s="1"/>
      <c r="AA15" s="7" t="s">
        <v>0</v>
      </c>
      <c r="AB15" s="7" t="s">
        <v>0</v>
      </c>
      <c r="AC15" s="1"/>
      <c r="AD15" s="1"/>
    </row>
    <row r="16" spans="1:30" ht="15" customHeight="1">
      <c r="A16" s="31"/>
      <c r="B16" s="87" t="s">
        <v>6</v>
      </c>
      <c r="C16" s="1"/>
      <c r="D16" s="52" t="s">
        <v>71</v>
      </c>
      <c r="E16" s="55" t="s">
        <v>112</v>
      </c>
      <c r="F16" s="1"/>
      <c r="G16" s="26" t="s">
        <v>79</v>
      </c>
      <c r="H16" s="22" t="s">
        <v>19</v>
      </c>
      <c r="I16" s="12" t="s">
        <v>17</v>
      </c>
      <c r="J16" s="12" t="s">
        <v>29</v>
      </c>
      <c r="K16" s="38">
        <v>43397</v>
      </c>
      <c r="L16" s="94">
        <v>88</v>
      </c>
      <c r="M16" s="48">
        <v>94</v>
      </c>
      <c r="N16" s="10"/>
      <c r="O16" s="1"/>
      <c r="P16" s="1"/>
      <c r="Q16" s="1"/>
      <c r="R16" s="1"/>
      <c r="S16" s="1"/>
      <c r="T16" s="1"/>
      <c r="U16" s="1"/>
      <c r="V16" s="1"/>
      <c r="W16" s="1"/>
      <c r="X16" s="76" t="s">
        <v>40</v>
      </c>
      <c r="Y16" s="56"/>
      <c r="Z16" s="1"/>
      <c r="AA16" s="7" t="s">
        <v>0</v>
      </c>
      <c r="AB16" s="7" t="s">
        <v>0</v>
      </c>
      <c r="AC16" s="1"/>
      <c r="AD16" s="1"/>
    </row>
    <row r="17" spans="1:30">
      <c r="A17" s="2"/>
      <c r="B17" s="87"/>
      <c r="C17" s="1"/>
      <c r="D17" s="1"/>
      <c r="E17" s="1" t="s">
        <v>7</v>
      </c>
      <c r="F17" s="1"/>
      <c r="G17" s="26" t="s">
        <v>80</v>
      </c>
      <c r="H17" s="22" t="s">
        <v>23</v>
      </c>
      <c r="I17" s="12" t="s">
        <v>18</v>
      </c>
      <c r="J17" s="12" t="s">
        <v>30</v>
      </c>
      <c r="K17" s="38">
        <v>43393</v>
      </c>
      <c r="L17" s="94">
        <v>94</v>
      </c>
      <c r="M17" s="48">
        <v>51</v>
      </c>
      <c r="N17" s="7"/>
      <c r="O17" s="1"/>
      <c r="P17" s="1"/>
      <c r="Q17" s="1"/>
      <c r="R17" s="1"/>
      <c r="S17" s="1"/>
      <c r="T17" s="1"/>
      <c r="U17" s="1"/>
      <c r="V17" s="1"/>
      <c r="W17" s="1"/>
      <c r="X17" s="77" t="s">
        <v>41</v>
      </c>
      <c r="Y17" s="57"/>
      <c r="Z17" s="1"/>
      <c r="AA17" s="7" t="s">
        <v>0</v>
      </c>
      <c r="AB17" s="7" t="s">
        <v>0</v>
      </c>
      <c r="AC17" s="1"/>
      <c r="AD17" s="1"/>
    </row>
    <row r="18" spans="1:30">
      <c r="A18" s="2"/>
      <c r="B18" s="87" t="s">
        <v>7</v>
      </c>
      <c r="C18" s="1"/>
      <c r="D18" s="52" t="s">
        <v>71</v>
      </c>
      <c r="E18" s="55" t="s">
        <v>26</v>
      </c>
      <c r="F18" s="1"/>
      <c r="G18" s="26" t="s">
        <v>81</v>
      </c>
      <c r="H18" s="22" t="s">
        <v>24</v>
      </c>
      <c r="I18" s="12" t="s">
        <v>68</v>
      </c>
      <c r="J18" s="12" t="s">
        <v>26</v>
      </c>
      <c r="K18" s="38">
        <v>43195</v>
      </c>
      <c r="L18" s="94">
        <v>32</v>
      </c>
      <c r="M18" s="48">
        <v>97</v>
      </c>
      <c r="N18" s="7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7" t="s">
        <v>0</v>
      </c>
      <c r="AB18" s="7" t="s">
        <v>0</v>
      </c>
      <c r="AC18" s="1"/>
      <c r="AD18" s="1"/>
    </row>
    <row r="19" spans="1:30">
      <c r="A19" s="2"/>
      <c r="B19" s="87" t="s">
        <v>7</v>
      </c>
      <c r="C19" s="1"/>
      <c r="D19" s="52" t="s">
        <v>71</v>
      </c>
      <c r="E19" s="55" t="s">
        <v>111</v>
      </c>
      <c r="F19" s="1"/>
      <c r="G19" s="26" t="s">
        <v>82</v>
      </c>
      <c r="H19" s="22" t="s">
        <v>25</v>
      </c>
      <c r="I19" s="12" t="s">
        <v>15</v>
      </c>
      <c r="J19" s="12" t="s">
        <v>26</v>
      </c>
      <c r="K19" s="38">
        <v>43239</v>
      </c>
      <c r="L19" s="94">
        <v>30</v>
      </c>
      <c r="M19" s="48">
        <v>92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 t="s">
        <v>63</v>
      </c>
      <c r="Z19" s="1"/>
      <c r="AA19" s="7" t="s">
        <v>0</v>
      </c>
      <c r="AB19" s="7" t="s">
        <v>0</v>
      </c>
      <c r="AC19" s="1"/>
      <c r="AD19" s="1"/>
    </row>
    <row r="20" spans="1:30">
      <c r="A20" s="2"/>
      <c r="B20" s="87" t="s">
        <v>7</v>
      </c>
      <c r="C20" s="1"/>
      <c r="D20" s="52" t="s">
        <v>71</v>
      </c>
      <c r="E20" s="55" t="s">
        <v>28</v>
      </c>
      <c r="F20" s="1"/>
      <c r="G20" s="26" t="s">
        <v>83</v>
      </c>
      <c r="H20" s="22" t="s">
        <v>21</v>
      </c>
      <c r="I20" s="12" t="s">
        <v>16</v>
      </c>
      <c r="J20" s="12" t="s">
        <v>27</v>
      </c>
      <c r="K20" s="38">
        <v>43173</v>
      </c>
      <c r="L20" s="94">
        <v>69</v>
      </c>
      <c r="M20" s="48">
        <v>118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76" t="s">
        <v>40</v>
      </c>
      <c r="Y20" s="110"/>
      <c r="Z20" s="1"/>
      <c r="AA20" s="7" t="s">
        <v>0</v>
      </c>
      <c r="AB20" s="7" t="s">
        <v>0</v>
      </c>
      <c r="AC20" s="1"/>
      <c r="AD20" s="1"/>
    </row>
    <row r="21" spans="1:30">
      <c r="A21" s="2"/>
      <c r="B21" s="87" t="s">
        <v>7</v>
      </c>
      <c r="C21" s="1"/>
      <c r="D21" s="52" t="s">
        <v>71</v>
      </c>
      <c r="E21" s="55" t="s">
        <v>29</v>
      </c>
      <c r="F21" s="1"/>
      <c r="G21" s="26" t="s">
        <v>84</v>
      </c>
      <c r="H21" s="22" t="s">
        <v>22</v>
      </c>
      <c r="I21" s="12" t="s">
        <v>17</v>
      </c>
      <c r="J21" s="12" t="s">
        <v>28</v>
      </c>
      <c r="K21" s="38">
        <v>43441</v>
      </c>
      <c r="L21" s="94">
        <v>78</v>
      </c>
      <c r="M21" s="48">
        <v>59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77" t="s">
        <v>41</v>
      </c>
      <c r="Y21" s="111"/>
      <c r="Z21" s="1"/>
      <c r="AA21" s="7" t="s">
        <v>0</v>
      </c>
      <c r="AB21" s="7" t="s">
        <v>0</v>
      </c>
      <c r="AC21" s="1"/>
      <c r="AD21" s="1"/>
    </row>
    <row r="22" spans="1:30">
      <c r="A22" s="2"/>
      <c r="B22" s="87" t="s">
        <v>7</v>
      </c>
      <c r="C22" s="1"/>
      <c r="D22" s="52" t="s">
        <v>71</v>
      </c>
      <c r="E22" s="55" t="s">
        <v>30</v>
      </c>
      <c r="F22" s="1"/>
      <c r="G22" s="26" t="s">
        <v>85</v>
      </c>
      <c r="H22" s="22" t="s">
        <v>20</v>
      </c>
      <c r="I22" s="12" t="s">
        <v>18</v>
      </c>
      <c r="J22" s="12" t="s">
        <v>29</v>
      </c>
      <c r="K22" s="38">
        <v>43344</v>
      </c>
      <c r="L22" s="94">
        <v>66</v>
      </c>
      <c r="M22" s="48">
        <v>27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7" t="s">
        <v>0</v>
      </c>
      <c r="AB22" s="7" t="s">
        <v>0</v>
      </c>
      <c r="AC22" s="1"/>
      <c r="AD22" s="1"/>
    </row>
    <row r="23" spans="1:30">
      <c r="A23" s="2"/>
      <c r="B23" s="86" t="s">
        <v>7</v>
      </c>
      <c r="C23" s="1"/>
      <c r="D23" s="52" t="s">
        <v>71</v>
      </c>
      <c r="E23" s="55" t="s">
        <v>27</v>
      </c>
      <c r="F23" s="1"/>
      <c r="G23" s="26" t="s">
        <v>86</v>
      </c>
      <c r="H23" s="22" t="s">
        <v>19</v>
      </c>
      <c r="I23" s="12" t="s">
        <v>14</v>
      </c>
      <c r="J23" s="12" t="s">
        <v>30</v>
      </c>
      <c r="K23" s="38">
        <v>43362</v>
      </c>
      <c r="L23" s="94">
        <v>77</v>
      </c>
      <c r="M23" s="48">
        <v>29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 t="s">
        <v>64</v>
      </c>
      <c r="Z23" s="1"/>
      <c r="AA23" s="7" t="s">
        <v>0</v>
      </c>
      <c r="AB23" s="7" t="s">
        <v>0</v>
      </c>
      <c r="AC23" s="1"/>
      <c r="AD23" s="1"/>
    </row>
    <row r="24" spans="1:30">
      <c r="A24" s="2"/>
      <c r="B24" s="86" t="s">
        <v>7</v>
      </c>
      <c r="C24" s="1"/>
      <c r="D24" s="52" t="s">
        <v>71</v>
      </c>
      <c r="E24" s="55" t="s">
        <v>112</v>
      </c>
      <c r="F24" s="1"/>
      <c r="G24" s="26" t="s">
        <v>87</v>
      </c>
      <c r="H24" s="22" t="s">
        <v>23</v>
      </c>
      <c r="I24" s="12" t="s">
        <v>15</v>
      </c>
      <c r="J24" s="12" t="s">
        <v>26</v>
      </c>
      <c r="K24" s="38">
        <v>43163</v>
      </c>
      <c r="L24" s="94">
        <v>45</v>
      </c>
      <c r="M24" s="48">
        <v>106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7" t="s">
        <v>0</v>
      </c>
      <c r="AB24" s="7" t="s">
        <v>0</v>
      </c>
      <c r="AC24" s="1"/>
      <c r="AD24" s="1"/>
    </row>
    <row r="25" spans="1:30" ht="15" customHeight="1">
      <c r="A25" s="2"/>
      <c r="B25" s="86"/>
      <c r="C25" s="1"/>
      <c r="D25" s="1"/>
      <c r="E25" s="1" t="s">
        <v>8</v>
      </c>
      <c r="F25" s="1"/>
      <c r="G25" s="26" t="s">
        <v>88</v>
      </c>
      <c r="H25" s="22" t="s">
        <v>24</v>
      </c>
      <c r="I25" s="12" t="s">
        <v>16</v>
      </c>
      <c r="J25" s="12" t="s">
        <v>26</v>
      </c>
      <c r="K25" s="38">
        <v>43194</v>
      </c>
      <c r="L25" s="94">
        <v>53</v>
      </c>
      <c r="M25" s="48">
        <v>135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7" t="s">
        <v>0</v>
      </c>
      <c r="AB25" s="7" t="s">
        <v>0</v>
      </c>
      <c r="AC25" s="1"/>
      <c r="AD25" s="1"/>
    </row>
    <row r="26" spans="1:30">
      <c r="A26" s="2"/>
      <c r="B26" s="86">
        <v>31</v>
      </c>
      <c r="C26" s="1"/>
      <c r="D26" s="76" t="s">
        <v>34</v>
      </c>
      <c r="E26" s="58"/>
      <c r="F26" s="1"/>
      <c r="G26" s="26" t="s">
        <v>89</v>
      </c>
      <c r="H26" s="22" t="s">
        <v>25</v>
      </c>
      <c r="I26" s="12" t="s">
        <v>17</v>
      </c>
      <c r="J26" s="12" t="s">
        <v>27</v>
      </c>
      <c r="K26" s="38">
        <v>43316</v>
      </c>
      <c r="L26" s="94">
        <v>99</v>
      </c>
      <c r="M26" s="48">
        <v>102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7" t="s">
        <v>0</v>
      </c>
      <c r="AB26" s="7" t="s">
        <v>0</v>
      </c>
      <c r="AC26" s="1"/>
      <c r="AD26" s="1"/>
    </row>
    <row r="27" spans="1:30">
      <c r="A27" s="2"/>
      <c r="B27" s="86">
        <v>34</v>
      </c>
      <c r="C27" s="1"/>
      <c r="D27" s="77" t="s">
        <v>35</v>
      </c>
      <c r="E27" s="59"/>
      <c r="F27" s="1"/>
      <c r="G27" s="28" t="s">
        <v>90</v>
      </c>
      <c r="H27" s="29" t="s">
        <v>21</v>
      </c>
      <c r="I27" s="30" t="s">
        <v>18</v>
      </c>
      <c r="J27" s="30" t="s">
        <v>28</v>
      </c>
      <c r="K27" s="39">
        <v>43109</v>
      </c>
      <c r="L27" s="95">
        <v>50</v>
      </c>
      <c r="M27" s="49">
        <v>84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7" t="s">
        <v>0</v>
      </c>
      <c r="AB27" s="7" t="s">
        <v>0</v>
      </c>
      <c r="AC27" s="1"/>
      <c r="AD27" s="1"/>
    </row>
    <row r="28" spans="1:30">
      <c r="A28" s="2"/>
      <c r="B28" s="86"/>
      <c r="C28" s="1"/>
      <c r="D28" s="1"/>
      <c r="E28" s="1" t="s">
        <v>42</v>
      </c>
      <c r="F28" s="1"/>
      <c r="G28" s="26" t="s">
        <v>91</v>
      </c>
      <c r="H28" s="22" t="s">
        <v>22</v>
      </c>
      <c r="I28" s="12" t="s">
        <v>14</v>
      </c>
      <c r="J28" s="12" t="s">
        <v>29</v>
      </c>
      <c r="K28" s="38">
        <v>43454</v>
      </c>
      <c r="L28" s="94">
        <v>52</v>
      </c>
      <c r="M28" s="48">
        <v>81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7" t="s">
        <v>0</v>
      </c>
      <c r="AB28" s="7" t="s">
        <v>0</v>
      </c>
      <c r="AC28" s="1"/>
      <c r="AD28" s="1"/>
    </row>
    <row r="29" spans="1:30">
      <c r="A29" s="2"/>
      <c r="B29" s="86">
        <v>32</v>
      </c>
      <c r="C29" s="1"/>
      <c r="D29" s="76" t="s">
        <v>40</v>
      </c>
      <c r="E29" s="56"/>
      <c r="F29" s="1"/>
      <c r="G29" s="26" t="s">
        <v>92</v>
      </c>
      <c r="H29" s="22" t="s">
        <v>20</v>
      </c>
      <c r="I29" s="12" t="s">
        <v>15</v>
      </c>
      <c r="J29" s="12" t="s">
        <v>30</v>
      </c>
      <c r="K29" s="38">
        <v>43364</v>
      </c>
      <c r="L29" s="94">
        <v>26</v>
      </c>
      <c r="M29" s="48">
        <v>140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7" t="s">
        <v>0</v>
      </c>
      <c r="AB29" s="7" t="s">
        <v>0</v>
      </c>
      <c r="AC29" s="1"/>
      <c r="AD29" s="1"/>
    </row>
    <row r="30" spans="1:30">
      <c r="A30" s="2"/>
      <c r="B30" s="86">
        <v>35</v>
      </c>
      <c r="C30" s="1"/>
      <c r="D30" s="77" t="s">
        <v>41</v>
      </c>
      <c r="E30" s="57"/>
      <c r="F30" s="1"/>
      <c r="G30" s="26" t="s">
        <v>93</v>
      </c>
      <c r="H30" s="22" t="s">
        <v>19</v>
      </c>
      <c r="I30" s="12" t="s">
        <v>16</v>
      </c>
      <c r="J30" s="12" t="s">
        <v>26</v>
      </c>
      <c r="K30" s="38">
        <v>43260</v>
      </c>
      <c r="L30" s="94">
        <v>42</v>
      </c>
      <c r="M30" s="48">
        <v>22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7" t="s">
        <v>0</v>
      </c>
      <c r="AB30" s="7" t="s">
        <v>0</v>
      </c>
      <c r="AC30" s="1"/>
      <c r="AD30" s="1"/>
    </row>
    <row r="31" spans="1:30">
      <c r="A31" s="2"/>
      <c r="B31" s="86"/>
      <c r="C31" s="1"/>
      <c r="D31" s="1"/>
      <c r="E31" s="1" t="s">
        <v>39</v>
      </c>
      <c r="F31" s="1"/>
      <c r="G31" s="26" t="s">
        <v>94</v>
      </c>
      <c r="H31" s="22" t="s">
        <v>23</v>
      </c>
      <c r="I31" s="12" t="s">
        <v>17</v>
      </c>
      <c r="J31" s="12" t="s">
        <v>26</v>
      </c>
      <c r="K31" s="38">
        <v>43439</v>
      </c>
      <c r="L31" s="94">
        <v>23</v>
      </c>
      <c r="M31" s="48">
        <v>128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7" t="s">
        <v>0</v>
      </c>
      <c r="AB31" s="7" t="s">
        <v>0</v>
      </c>
      <c r="AC31" s="1"/>
      <c r="AD31" s="1"/>
    </row>
    <row r="32" spans="1:30">
      <c r="A32" s="2"/>
      <c r="B32" s="86">
        <v>33</v>
      </c>
      <c r="C32" s="1"/>
      <c r="D32" s="76" t="s">
        <v>40</v>
      </c>
      <c r="E32" s="110"/>
      <c r="F32" s="1"/>
      <c r="G32" s="26" t="s">
        <v>95</v>
      </c>
      <c r="H32" s="22" t="s">
        <v>24</v>
      </c>
      <c r="I32" s="12" t="s">
        <v>18</v>
      </c>
      <c r="J32" s="12" t="s">
        <v>27</v>
      </c>
      <c r="K32" s="38">
        <v>43358</v>
      </c>
      <c r="L32" s="94">
        <v>71</v>
      </c>
      <c r="M32" s="48">
        <v>92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7" t="s">
        <v>0</v>
      </c>
      <c r="AB32" s="7" t="s">
        <v>0</v>
      </c>
      <c r="AC32" s="1"/>
      <c r="AD32" s="1"/>
    </row>
    <row r="33" spans="1:30">
      <c r="A33" s="2"/>
      <c r="B33" s="86">
        <v>36</v>
      </c>
      <c r="C33" s="1"/>
      <c r="D33" s="77" t="s">
        <v>41</v>
      </c>
      <c r="E33" s="111"/>
      <c r="F33" s="1"/>
      <c r="G33" s="26" t="s">
        <v>96</v>
      </c>
      <c r="H33" s="22" t="s">
        <v>25</v>
      </c>
      <c r="I33" s="12" t="s">
        <v>14</v>
      </c>
      <c r="J33" s="12" t="s">
        <v>28</v>
      </c>
      <c r="K33" s="38">
        <v>43232</v>
      </c>
      <c r="L33" s="94">
        <v>72</v>
      </c>
      <c r="M33" s="48">
        <v>49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7" t="s">
        <v>0</v>
      </c>
      <c r="AB33" s="7" t="s">
        <v>0</v>
      </c>
      <c r="AC33" s="1"/>
      <c r="AD33" s="1"/>
    </row>
    <row r="34" spans="1:30">
      <c r="A34" s="2"/>
      <c r="B34" s="86"/>
      <c r="C34" s="1"/>
      <c r="D34" s="1"/>
      <c r="E34" s="1"/>
      <c r="F34" s="1"/>
      <c r="G34" s="26" t="s">
        <v>97</v>
      </c>
      <c r="H34" s="22" t="s">
        <v>21</v>
      </c>
      <c r="I34" s="12" t="s">
        <v>15</v>
      </c>
      <c r="J34" s="12" t="s">
        <v>29</v>
      </c>
      <c r="K34" s="38">
        <v>43422</v>
      </c>
      <c r="L34" s="94">
        <v>22</v>
      </c>
      <c r="M34" s="48">
        <v>118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7" t="s">
        <v>0</v>
      </c>
      <c r="AB34" s="7" t="s">
        <v>0</v>
      </c>
      <c r="AC34" s="1"/>
      <c r="AD34" s="1"/>
    </row>
    <row r="35" spans="1:30">
      <c r="A35" s="2"/>
      <c r="B35" s="86"/>
      <c r="C35" s="1"/>
      <c r="D35" s="1"/>
      <c r="E35" s="1"/>
      <c r="F35" s="1"/>
      <c r="G35" s="26" t="s">
        <v>98</v>
      </c>
      <c r="H35" s="22" t="s">
        <v>22</v>
      </c>
      <c r="I35" s="12" t="s">
        <v>16</v>
      </c>
      <c r="J35" s="12" t="s">
        <v>30</v>
      </c>
      <c r="K35" s="38">
        <v>43305</v>
      </c>
      <c r="L35" s="94">
        <v>84</v>
      </c>
      <c r="M35" s="48">
        <v>66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7" t="s">
        <v>0</v>
      </c>
      <c r="AB35" s="7" t="s">
        <v>0</v>
      </c>
      <c r="AC35" s="1"/>
      <c r="AD35" s="1"/>
    </row>
    <row r="36" spans="1:30">
      <c r="A36" s="5"/>
      <c r="B36" s="86"/>
      <c r="C36" s="1"/>
      <c r="D36" s="1"/>
      <c r="E36" s="1"/>
      <c r="F36" s="1"/>
      <c r="G36" s="26" t="s">
        <v>99</v>
      </c>
      <c r="H36" s="22" t="s">
        <v>20</v>
      </c>
      <c r="I36" s="12" t="s">
        <v>17</v>
      </c>
      <c r="J36" s="12" t="s">
        <v>26</v>
      </c>
      <c r="K36" s="38">
        <v>43437</v>
      </c>
      <c r="L36" s="94">
        <v>15</v>
      </c>
      <c r="M36" s="48">
        <v>80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7" t="s">
        <v>0</v>
      </c>
      <c r="AB36" s="7" t="s">
        <v>0</v>
      </c>
      <c r="AC36" s="1"/>
      <c r="AD36" s="1"/>
    </row>
    <row r="37" spans="1:30">
      <c r="A37" s="5"/>
      <c r="B37" s="86"/>
      <c r="C37" s="1"/>
      <c r="D37" s="1"/>
      <c r="E37" s="1"/>
      <c r="F37" s="1"/>
      <c r="G37" s="26" t="s">
        <v>100</v>
      </c>
      <c r="H37" s="22" t="s">
        <v>19</v>
      </c>
      <c r="I37" s="12" t="s">
        <v>18</v>
      </c>
      <c r="J37" s="12" t="s">
        <v>27</v>
      </c>
      <c r="K37" s="38">
        <v>43425</v>
      </c>
      <c r="L37" s="94">
        <v>72</v>
      </c>
      <c r="M37" s="48">
        <v>96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7" t="s">
        <v>0</v>
      </c>
      <c r="AB37" s="7" t="s">
        <v>0</v>
      </c>
      <c r="AC37" s="1"/>
      <c r="AD37" s="1"/>
    </row>
    <row r="38" spans="1:30">
      <c r="A38" s="5"/>
      <c r="B38" s="86"/>
      <c r="C38" s="1"/>
      <c r="D38" s="1"/>
      <c r="E38" s="1"/>
      <c r="F38" s="1"/>
      <c r="G38" s="26" t="s">
        <v>101</v>
      </c>
      <c r="H38" s="22" t="s">
        <v>23</v>
      </c>
      <c r="I38" s="12" t="s">
        <v>14</v>
      </c>
      <c r="J38" s="12" t="s">
        <v>28</v>
      </c>
      <c r="K38" s="38">
        <v>43205</v>
      </c>
      <c r="L38" s="94">
        <v>75</v>
      </c>
      <c r="M38" s="48">
        <v>94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7" t="s">
        <v>0</v>
      </c>
      <c r="AB38" s="7" t="s">
        <v>0</v>
      </c>
      <c r="AC38" s="1"/>
      <c r="AD38" s="1"/>
    </row>
    <row r="39" spans="1:30">
      <c r="A39" s="5"/>
      <c r="B39" s="86"/>
      <c r="C39" s="1"/>
      <c r="D39" s="1"/>
      <c r="E39" s="1"/>
      <c r="F39" s="1"/>
      <c r="G39" s="26" t="s">
        <v>102</v>
      </c>
      <c r="H39" s="22" t="s">
        <v>47</v>
      </c>
      <c r="I39" s="12" t="s">
        <v>15</v>
      </c>
      <c r="J39" s="12" t="s">
        <v>29</v>
      </c>
      <c r="K39" s="38">
        <v>43252</v>
      </c>
      <c r="L39" s="94">
        <v>89</v>
      </c>
      <c r="M39" s="48">
        <v>60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7" t="s">
        <v>0</v>
      </c>
      <c r="AB39" s="7" t="s">
        <v>0</v>
      </c>
      <c r="AC39" s="1"/>
      <c r="AD39" s="1"/>
    </row>
    <row r="40" spans="1:30">
      <c r="A40" s="5"/>
      <c r="B40" s="86"/>
      <c r="C40" s="1"/>
      <c r="D40" s="5"/>
      <c r="E40" s="1"/>
      <c r="F40" s="1"/>
      <c r="G40" s="26" t="s">
        <v>103</v>
      </c>
      <c r="H40" s="22" t="s">
        <v>46</v>
      </c>
      <c r="I40" s="12" t="s">
        <v>16</v>
      </c>
      <c r="J40" s="12" t="s">
        <v>30</v>
      </c>
      <c r="K40" s="38">
        <v>43118</v>
      </c>
      <c r="L40" s="94">
        <v>12</v>
      </c>
      <c r="M40" s="48">
        <v>16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7" t="s">
        <v>0</v>
      </c>
      <c r="AB40" s="7" t="s">
        <v>0</v>
      </c>
      <c r="AC40" s="1"/>
      <c r="AD40" s="1"/>
    </row>
    <row r="41" spans="1:30" ht="15.75" thickBot="1">
      <c r="A41" s="5"/>
      <c r="B41" s="86"/>
      <c r="C41" s="1"/>
      <c r="D41" s="5"/>
      <c r="E41" s="1"/>
      <c r="F41" s="1"/>
      <c r="G41" s="27" t="s">
        <v>104</v>
      </c>
      <c r="H41" s="23" t="s">
        <v>48</v>
      </c>
      <c r="I41" s="13" t="s">
        <v>17</v>
      </c>
      <c r="J41" s="13" t="s">
        <v>26</v>
      </c>
      <c r="K41" s="40">
        <v>43377</v>
      </c>
      <c r="L41" s="96">
        <v>38</v>
      </c>
      <c r="M41" s="50">
        <v>81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7" t="s">
        <v>0</v>
      </c>
      <c r="AB41" s="7" t="s">
        <v>0</v>
      </c>
      <c r="AC41" s="1"/>
      <c r="AD41" s="1"/>
    </row>
    <row r="42" spans="1:30">
      <c r="A42" s="5"/>
      <c r="B42" s="86"/>
      <c r="C42" s="1"/>
      <c r="D42" s="5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7" t="s">
        <v>0</v>
      </c>
      <c r="AB42" s="7" t="s">
        <v>0</v>
      </c>
      <c r="AC42" s="1"/>
      <c r="AD42" s="1"/>
    </row>
    <row r="43" spans="1:30">
      <c r="A43" s="5"/>
      <c r="B43" s="86"/>
      <c r="C43" s="1"/>
      <c r="D43" s="5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7" t="s">
        <v>0</v>
      </c>
      <c r="AB43" s="7" t="s">
        <v>0</v>
      </c>
      <c r="AC43" s="1"/>
      <c r="AD43" s="1"/>
    </row>
    <row r="44" spans="1:30">
      <c r="A44" s="5"/>
      <c r="B44" s="86"/>
      <c r="C44" s="1"/>
      <c r="D44" s="5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7" t="s">
        <v>0</v>
      </c>
      <c r="AB44" s="7" t="s">
        <v>0</v>
      </c>
      <c r="AC44" s="1"/>
      <c r="AD44" s="1"/>
    </row>
    <row r="45" spans="1:30">
      <c r="A45" s="5"/>
      <c r="B45" s="86"/>
      <c r="C45" s="1"/>
      <c r="D45" s="5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7" t="s">
        <v>0</v>
      </c>
      <c r="AB45" s="7" t="s">
        <v>0</v>
      </c>
      <c r="AC45" s="1"/>
      <c r="AD45" s="1"/>
    </row>
    <row r="46" spans="1:30">
      <c r="A46" s="5"/>
      <c r="B46" s="86"/>
      <c r="C46" s="1"/>
      <c r="D46" s="5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7" t="s">
        <v>0</v>
      </c>
      <c r="AB46" s="7" t="s">
        <v>0</v>
      </c>
      <c r="AC46" s="1"/>
      <c r="AD46" s="1"/>
    </row>
    <row r="47" spans="1:30">
      <c r="A47" s="5"/>
      <c r="B47" s="86"/>
      <c r="C47" s="1"/>
      <c r="D47" s="5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7" t="s">
        <v>0</v>
      </c>
      <c r="AB47" s="7" t="s">
        <v>0</v>
      </c>
      <c r="AC47" s="1"/>
      <c r="AD47" s="1"/>
    </row>
    <row r="48" spans="1:30">
      <c r="A48" s="5"/>
      <c r="B48" s="86"/>
      <c r="C48" s="1"/>
      <c r="D48" s="5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7" t="s">
        <v>0</v>
      </c>
      <c r="AB48" s="7" t="s">
        <v>0</v>
      </c>
      <c r="AC48" s="1"/>
      <c r="AD48" s="1"/>
    </row>
    <row r="49" spans="1:30">
      <c r="A49" s="5"/>
      <c r="B49" s="86"/>
      <c r="C49" s="1"/>
      <c r="D49" s="5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7" t="s">
        <v>0</v>
      </c>
      <c r="AB49" s="7" t="s">
        <v>0</v>
      </c>
      <c r="AC49" s="1"/>
      <c r="AD49" s="1"/>
    </row>
    <row r="50" spans="1:30">
      <c r="A50" s="5"/>
      <c r="B50" s="86"/>
      <c r="C50" s="1"/>
      <c r="D50" s="5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7" t="s">
        <v>0</v>
      </c>
      <c r="AB50" s="7" t="s">
        <v>0</v>
      </c>
      <c r="AC50" s="1"/>
      <c r="AD50" s="1"/>
    </row>
    <row r="51" spans="1:30">
      <c r="A51" s="5"/>
      <c r="B51" s="86"/>
      <c r="C51" s="1"/>
      <c r="D51" s="5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7" t="s">
        <v>0</v>
      </c>
      <c r="AB51" s="7" t="s">
        <v>0</v>
      </c>
      <c r="AC51" s="1"/>
      <c r="AD51" s="1"/>
    </row>
    <row r="52" spans="1:30">
      <c r="A52" s="5"/>
      <c r="B52" s="86"/>
      <c r="C52" s="1"/>
      <c r="D52" s="5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7" t="s">
        <v>0</v>
      </c>
      <c r="AB52" s="7" t="s">
        <v>0</v>
      </c>
      <c r="AC52" s="1"/>
      <c r="AD52" s="1"/>
    </row>
    <row r="53" spans="1:30">
      <c r="A53" s="5"/>
      <c r="B53" s="86"/>
      <c r="C53" s="1"/>
      <c r="D53" s="5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7" t="s">
        <v>0</v>
      </c>
      <c r="AB53" s="7" t="s">
        <v>0</v>
      </c>
      <c r="AC53" s="1"/>
      <c r="AD53" s="1"/>
    </row>
    <row r="54" spans="1:30">
      <c r="A54" s="5"/>
      <c r="B54" s="86"/>
      <c r="C54" s="1"/>
      <c r="D54" s="5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7" t="s">
        <v>0</v>
      </c>
      <c r="AB54" s="7" t="s">
        <v>0</v>
      </c>
      <c r="AC54" s="1"/>
      <c r="AD54" s="1"/>
    </row>
    <row r="55" spans="1:30">
      <c r="A55" s="5"/>
      <c r="B55" s="86"/>
      <c r="C55" s="1"/>
      <c r="D55" s="5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7" t="s">
        <v>0</v>
      </c>
      <c r="AB55" s="7" t="s">
        <v>0</v>
      </c>
      <c r="AC55" s="1"/>
      <c r="AD55" s="1"/>
    </row>
    <row r="56" spans="1:30">
      <c r="A56" s="5"/>
      <c r="B56" s="86"/>
      <c r="C56" s="1"/>
      <c r="D56" s="5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7" t="s">
        <v>0</v>
      </c>
      <c r="AB56" s="7" t="s">
        <v>0</v>
      </c>
      <c r="AC56" s="1"/>
      <c r="AD56" s="1"/>
    </row>
    <row r="57" spans="1:30">
      <c r="A57" s="5"/>
      <c r="B57" s="86"/>
      <c r="C57" s="1"/>
      <c r="D57" s="5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7" t="s">
        <v>0</v>
      </c>
      <c r="AB57" s="7" t="s">
        <v>0</v>
      </c>
      <c r="AC57" s="1"/>
      <c r="AD57" s="1"/>
    </row>
    <row r="58" spans="1:30">
      <c r="A58" s="5"/>
      <c r="B58" s="86"/>
      <c r="C58" s="1"/>
      <c r="D58" s="5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7" t="s">
        <v>0</v>
      </c>
      <c r="AB58" s="7" t="s">
        <v>0</v>
      </c>
      <c r="AC58" s="1"/>
      <c r="AD58" s="1"/>
    </row>
    <row r="59" spans="1:30">
      <c r="A59" s="5"/>
      <c r="B59" s="86"/>
      <c r="C59" s="1"/>
      <c r="D59" s="5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7" t="s">
        <v>0</v>
      </c>
      <c r="AB59" s="7" t="s">
        <v>0</v>
      </c>
      <c r="AC59" s="1"/>
      <c r="AD59" s="1"/>
    </row>
    <row r="60" spans="1:30">
      <c r="A60" s="5"/>
      <c r="B60" s="86"/>
      <c r="C60" s="1"/>
      <c r="D60" s="5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7" t="s">
        <v>0</v>
      </c>
      <c r="AB60" s="7" t="s">
        <v>0</v>
      </c>
      <c r="AC60" s="1"/>
      <c r="AD60" s="1"/>
    </row>
    <row r="61" spans="1:30">
      <c r="A61" s="5"/>
      <c r="B61" s="86"/>
      <c r="C61" s="1"/>
      <c r="D61" s="5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7" t="s">
        <v>0</v>
      </c>
      <c r="AB61" s="7" t="s">
        <v>0</v>
      </c>
      <c r="AC61" s="1"/>
      <c r="AD61" s="1"/>
    </row>
    <row r="62" spans="1:30">
      <c r="A62" s="5"/>
      <c r="B62" s="86"/>
      <c r="C62" s="1"/>
      <c r="D62" s="5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7" t="s">
        <v>0</v>
      </c>
      <c r="AB62" s="7" t="s">
        <v>0</v>
      </c>
      <c r="AC62" s="1"/>
      <c r="AD62" s="1"/>
    </row>
    <row r="63" spans="1:30">
      <c r="A63" s="5"/>
      <c r="B63" s="86"/>
      <c r="C63" s="1"/>
      <c r="D63" s="5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7" t="s">
        <v>0</v>
      </c>
      <c r="AB63" s="7" t="s">
        <v>0</v>
      </c>
      <c r="AC63" s="1"/>
      <c r="AD63" s="1"/>
    </row>
    <row r="64" spans="1:30">
      <c r="A64" s="5"/>
      <c r="B64" s="86"/>
      <c r="C64" s="1"/>
      <c r="D64" s="5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7" t="s">
        <v>0</v>
      </c>
      <c r="AB64" s="7" t="s">
        <v>0</v>
      </c>
      <c r="AC64" s="1"/>
      <c r="AD64" s="1"/>
    </row>
    <row r="65" spans="1:30">
      <c r="A65" s="5"/>
      <c r="B65" s="86"/>
      <c r="C65" s="1"/>
      <c r="D65" s="5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7" t="s">
        <v>0</v>
      </c>
      <c r="AB65" s="7" t="s">
        <v>0</v>
      </c>
      <c r="AC65" s="1"/>
      <c r="AD65" s="1"/>
    </row>
    <row r="66" spans="1:30">
      <c r="A66" s="5"/>
      <c r="B66" s="86"/>
      <c r="C66" s="1"/>
      <c r="D66" s="5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7" t="s">
        <v>0</v>
      </c>
      <c r="AB66" s="7" t="s">
        <v>0</v>
      </c>
      <c r="AC66" s="1"/>
      <c r="AD66" s="1"/>
    </row>
    <row r="67" spans="1:30">
      <c r="A67" s="5"/>
      <c r="B67" s="86"/>
      <c r="C67" s="1"/>
      <c r="D67" s="5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7" t="s">
        <v>0</v>
      </c>
      <c r="AB67" s="7" t="s">
        <v>0</v>
      </c>
      <c r="AC67" s="1"/>
      <c r="AD67" s="1"/>
    </row>
    <row r="68" spans="1:30">
      <c r="A68" s="5"/>
      <c r="B68" s="86"/>
      <c r="C68" s="1"/>
      <c r="D68" s="5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7" t="s">
        <v>0</v>
      </c>
      <c r="AB68" s="7" t="s">
        <v>0</v>
      </c>
      <c r="AC68" s="1"/>
      <c r="AD68" s="1"/>
    </row>
    <row r="69" spans="1:30">
      <c r="A69" s="5"/>
      <c r="B69" s="86"/>
      <c r="C69" s="1"/>
      <c r="D69" s="5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7" t="s">
        <v>0</v>
      </c>
      <c r="AB69" s="7" t="s">
        <v>0</v>
      </c>
      <c r="AC69" s="1"/>
      <c r="AD69" s="1"/>
    </row>
    <row r="70" spans="1:30">
      <c r="A70" s="5"/>
      <c r="B70" s="86"/>
      <c r="C70" s="1"/>
      <c r="D70" s="5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7" t="s">
        <v>0</v>
      </c>
      <c r="AB70" s="7" t="s">
        <v>0</v>
      </c>
      <c r="AC70" s="1"/>
      <c r="AD70" s="1"/>
    </row>
    <row r="71" spans="1:30">
      <c r="A71" s="5"/>
      <c r="B71" s="86"/>
      <c r="C71" s="1"/>
      <c r="D71" s="5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7" t="s">
        <v>0</v>
      </c>
      <c r="AB71" s="7" t="s">
        <v>0</v>
      </c>
      <c r="AC71" s="1"/>
      <c r="AD71" s="1"/>
    </row>
    <row r="72" spans="1:30">
      <c r="A72" s="5"/>
      <c r="B72" s="86"/>
      <c r="C72" s="1"/>
      <c r="D72" s="5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7" t="s">
        <v>0</v>
      </c>
      <c r="AB72" s="7" t="s">
        <v>0</v>
      </c>
      <c r="AC72" s="1"/>
      <c r="AD72" s="1"/>
    </row>
    <row r="73" spans="1:30">
      <c r="A73" s="5"/>
      <c r="B73" s="86"/>
      <c r="C73" s="1"/>
      <c r="D73" s="5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7" t="s">
        <v>0</v>
      </c>
      <c r="AB73" s="7" t="s">
        <v>0</v>
      </c>
      <c r="AC73" s="1"/>
      <c r="AD73" s="1"/>
    </row>
    <row r="74" spans="1:30">
      <c r="A74" s="5"/>
      <c r="B74" s="86"/>
      <c r="C74" s="1"/>
      <c r="D74" s="5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7" t="s">
        <v>0</v>
      </c>
      <c r="AB74" s="7" t="s">
        <v>0</v>
      </c>
      <c r="AC74" s="1"/>
      <c r="AD74" s="1"/>
    </row>
    <row r="75" spans="1:30">
      <c r="A75" s="5"/>
      <c r="B75" s="86"/>
      <c r="C75" s="1"/>
      <c r="D75" s="5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7" t="s">
        <v>0</v>
      </c>
      <c r="AB75" s="7" t="s">
        <v>0</v>
      </c>
      <c r="AC75" s="1"/>
      <c r="AD75" s="1"/>
    </row>
    <row r="76" spans="1:30">
      <c r="A76" s="5"/>
      <c r="B76" s="86"/>
      <c r="C76" s="1"/>
      <c r="D76" s="5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7" t="s">
        <v>0</v>
      </c>
      <c r="AB76" s="7" t="s">
        <v>0</v>
      </c>
      <c r="AC76" s="1"/>
      <c r="AD76" s="1"/>
    </row>
    <row r="77" spans="1:30">
      <c r="A77" s="5"/>
      <c r="B77" s="5"/>
      <c r="C77" s="1"/>
      <c r="D77" s="5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7" t="s">
        <v>0</v>
      </c>
      <c r="AB77" s="7" t="s">
        <v>0</v>
      </c>
      <c r="AC77" s="1"/>
      <c r="AD77" s="1"/>
    </row>
    <row r="78" spans="1:30">
      <c r="A78" s="5"/>
      <c r="B78" s="5"/>
      <c r="C78" s="1"/>
      <c r="D78" s="5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7" t="s">
        <v>0</v>
      </c>
      <c r="AB78" s="7" t="s">
        <v>0</v>
      </c>
      <c r="AC78" s="1"/>
      <c r="AD78" s="1"/>
    </row>
    <row r="79" spans="1:30">
      <c r="A79" s="5"/>
      <c r="B79" s="5"/>
      <c r="C79" s="1"/>
      <c r="D79" s="5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7" t="s">
        <v>0</v>
      </c>
      <c r="AB79" s="7" t="s">
        <v>0</v>
      </c>
      <c r="AC79" s="1"/>
      <c r="AD79" s="1"/>
    </row>
    <row r="80" spans="1:30">
      <c r="A80" s="5"/>
      <c r="B80" s="5"/>
      <c r="C80" s="1"/>
      <c r="D80" s="5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7" t="s">
        <v>0</v>
      </c>
      <c r="AB80" s="7" t="s">
        <v>0</v>
      </c>
      <c r="AC80" s="1"/>
      <c r="AD80" s="1"/>
    </row>
    <row r="81" spans="1:30">
      <c r="A81" s="5"/>
      <c r="B81" s="5"/>
      <c r="C81" s="1"/>
      <c r="D81" s="5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7" t="s">
        <v>0</v>
      </c>
      <c r="AB81" s="7" t="s">
        <v>0</v>
      </c>
      <c r="AC81" s="1"/>
      <c r="AD81" s="1"/>
    </row>
    <row r="82" spans="1:30">
      <c r="A82" s="5"/>
      <c r="B82" s="5"/>
      <c r="C82" s="1"/>
      <c r="D82" s="5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7" t="s">
        <v>0</v>
      </c>
      <c r="AB82" s="7" t="s">
        <v>0</v>
      </c>
      <c r="AC82" s="1"/>
      <c r="AD82" s="1"/>
    </row>
    <row r="83" spans="1:30">
      <c r="A83" s="5"/>
      <c r="B83" s="5"/>
      <c r="C83" s="1"/>
      <c r="D83" s="5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7" t="s">
        <v>0</v>
      </c>
      <c r="AB83" s="7" t="s">
        <v>0</v>
      </c>
      <c r="AC83" s="1"/>
      <c r="AD83" s="1"/>
    </row>
    <row r="84" spans="1:30">
      <c r="A84" s="5"/>
      <c r="B84" s="5"/>
      <c r="C84" s="1"/>
      <c r="D84" s="5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7" t="s">
        <v>0</v>
      </c>
      <c r="AB84" s="7" t="s">
        <v>0</v>
      </c>
      <c r="AC84" s="1"/>
      <c r="AD84" s="1"/>
    </row>
    <row r="85" spans="1:30">
      <c r="A85" s="5"/>
      <c r="B85" s="5"/>
      <c r="C85" s="1"/>
      <c r="D85" s="5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7" t="s">
        <v>0</v>
      </c>
      <c r="AB85" s="7" t="s">
        <v>0</v>
      </c>
      <c r="AC85" s="1"/>
      <c r="AD85" s="1"/>
    </row>
    <row r="86" spans="1:30">
      <c r="A86" s="5"/>
      <c r="B86" s="5"/>
      <c r="C86" s="1"/>
      <c r="D86" s="5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7" t="s">
        <v>0</v>
      </c>
      <c r="AB86" s="7" t="s">
        <v>0</v>
      </c>
      <c r="AC86" s="1"/>
      <c r="AD86" s="1"/>
    </row>
    <row r="87" spans="1:30">
      <c r="A87" s="5"/>
      <c r="B87" s="5"/>
      <c r="C87" s="1"/>
      <c r="D87" s="5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7" t="s">
        <v>0</v>
      </c>
      <c r="AB87" s="7" t="s">
        <v>0</v>
      </c>
      <c r="AC87" s="1"/>
      <c r="AD87" s="1"/>
    </row>
    <row r="88" spans="1:30">
      <c r="A88" s="5"/>
      <c r="B88" s="5"/>
      <c r="C88" s="1"/>
      <c r="D88" s="5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7" t="s">
        <v>0</v>
      </c>
      <c r="AB88" s="7" t="s">
        <v>0</v>
      </c>
      <c r="AC88" s="1"/>
      <c r="AD88" s="1"/>
    </row>
    <row r="89" spans="1:30">
      <c r="A89" s="5"/>
      <c r="B89" s="5"/>
      <c r="C89" s="1"/>
      <c r="D89" s="5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7" t="s">
        <v>0</v>
      </c>
      <c r="AB89" s="7" t="s">
        <v>0</v>
      </c>
      <c r="AC89" s="1"/>
      <c r="AD89" s="1"/>
    </row>
    <row r="90" spans="1:30">
      <c r="A90" s="5"/>
      <c r="B90" s="5"/>
      <c r="C90" s="1"/>
      <c r="D90" s="5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7" t="s">
        <v>0</v>
      </c>
      <c r="AB90" s="7" t="s">
        <v>0</v>
      </c>
      <c r="AC90" s="1"/>
      <c r="AD90" s="1"/>
    </row>
    <row r="91" spans="1:30">
      <c r="A91" s="5"/>
      <c r="B91" s="5"/>
      <c r="C91" s="1"/>
      <c r="D91" s="5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7" t="s">
        <v>0</v>
      </c>
      <c r="AB91" s="7" t="s">
        <v>0</v>
      </c>
      <c r="AC91" s="1"/>
      <c r="AD91" s="1"/>
    </row>
    <row r="92" spans="1:30">
      <c r="A92" s="5"/>
      <c r="B92" s="5"/>
      <c r="C92" s="1"/>
      <c r="D92" s="5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7" t="s">
        <v>0</v>
      </c>
      <c r="AB92" s="7" t="s">
        <v>0</v>
      </c>
      <c r="AC92" s="1"/>
      <c r="AD92" s="1"/>
    </row>
    <row r="93" spans="1:30">
      <c r="A93" s="5"/>
      <c r="B93" s="5"/>
      <c r="C93" s="1"/>
      <c r="D93" s="5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7" t="s">
        <v>0</v>
      </c>
      <c r="AB93" s="7" t="s">
        <v>0</v>
      </c>
      <c r="AC93" s="1"/>
      <c r="AD93" s="1"/>
    </row>
    <row r="94" spans="1:30">
      <c r="A94" s="5"/>
      <c r="B94" s="5"/>
      <c r="C94" s="1"/>
      <c r="D94" s="5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7" t="s">
        <v>0</v>
      </c>
      <c r="AB94" s="7" t="s">
        <v>0</v>
      </c>
      <c r="AC94" s="1"/>
      <c r="AD94" s="1"/>
    </row>
    <row r="95" spans="1:30">
      <c r="A95" s="5"/>
      <c r="B95" s="5"/>
      <c r="C95" s="1"/>
      <c r="D95" s="5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7" t="s">
        <v>0</v>
      </c>
      <c r="AB95" s="7" t="s">
        <v>0</v>
      </c>
      <c r="AC95" s="1"/>
      <c r="AD95" s="1"/>
    </row>
    <row r="96" spans="1:30">
      <c r="A96" s="5"/>
      <c r="B96" s="5"/>
      <c r="C96" s="1"/>
      <c r="D96" s="5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7" t="s">
        <v>0</v>
      </c>
      <c r="AB96" s="7" t="s">
        <v>0</v>
      </c>
      <c r="AC96" s="1"/>
      <c r="AD96" s="1"/>
    </row>
    <row r="97" spans="1:30">
      <c r="A97" s="5"/>
      <c r="B97" s="5"/>
      <c r="C97" s="1"/>
      <c r="D97" s="5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7" t="s">
        <v>0</v>
      </c>
      <c r="AB97" s="7" t="s">
        <v>0</v>
      </c>
      <c r="AC97" s="1"/>
      <c r="AD97" s="1"/>
    </row>
    <row r="98" spans="1:30">
      <c r="A98" s="5"/>
      <c r="B98" s="5"/>
      <c r="C98" s="1"/>
      <c r="D98" s="5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7" t="s">
        <v>0</v>
      </c>
      <c r="AB98" s="7" t="s">
        <v>0</v>
      </c>
      <c r="AC98" s="1"/>
      <c r="AD98" s="1"/>
    </row>
    <row r="99" spans="1:30">
      <c r="A99" s="5"/>
      <c r="B99" s="5"/>
      <c r="C99" s="1"/>
      <c r="D99" s="5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>
      <c r="A100" s="5"/>
      <c r="B100" s="5"/>
      <c r="C100" s="1"/>
      <c r="D100" s="5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>
      <c r="A101" s="5"/>
      <c r="B101" s="5"/>
      <c r="C101" s="1"/>
      <c r="D101" s="5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>
      <c r="A102" s="5"/>
      <c r="B102" s="5"/>
      <c r="C102" s="1"/>
      <c r="D102" s="5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>
      <c r="A103" s="5"/>
      <c r="B103" s="5"/>
      <c r="C103" s="1"/>
      <c r="D103" s="5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>
      <c r="A104" s="5"/>
      <c r="B104" s="5"/>
      <c r="C104" s="1"/>
      <c r="D104" s="5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>
      <c r="A105" s="5"/>
      <c r="B105" s="5"/>
      <c r="C105" s="1"/>
      <c r="D105" s="5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>
      <c r="A106" s="5"/>
      <c r="B106" s="5"/>
      <c r="C106" s="1"/>
      <c r="D106" s="5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>
      <c r="A107" s="5"/>
      <c r="B107" s="5"/>
      <c r="C107" s="1"/>
      <c r="D107" s="5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>
      <c r="A108" s="5"/>
      <c r="B108" s="5"/>
      <c r="C108" s="1"/>
      <c r="D108" s="5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>
      <c r="A109" s="5"/>
      <c r="B109" s="5"/>
      <c r="C109" s="1"/>
      <c r="D109" s="5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>
      <c r="A110" s="5"/>
      <c r="B110" s="5"/>
      <c r="C110" s="1"/>
      <c r="D110" s="5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>
      <c r="A111" s="5"/>
      <c r="B111" s="5"/>
      <c r="C111" s="1"/>
      <c r="D111" s="5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>
      <c r="A112" s="5"/>
      <c r="B112" s="5"/>
      <c r="C112" s="1"/>
      <c r="D112" s="5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>
      <c r="A113" s="5"/>
      <c r="B113" s="5"/>
      <c r="C113" s="1"/>
      <c r="D113" s="5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>
      <c r="A114" s="5"/>
      <c r="B114" s="5"/>
      <c r="C114" s="1"/>
      <c r="D114" s="5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>
      <c r="A115" s="5"/>
      <c r="B115" s="5"/>
      <c r="C115" s="1"/>
      <c r="D115" s="5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>
      <c r="A116" s="5"/>
      <c r="B116" s="5"/>
      <c r="C116" s="1"/>
      <c r="D116" s="5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>
      <c r="A117" s="5"/>
      <c r="B117" s="5"/>
      <c r="C117" s="1"/>
      <c r="D117" s="5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>
      <c r="A118" s="5"/>
      <c r="B118" s="5"/>
      <c r="C118" s="1"/>
      <c r="D118" s="5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>
      <c r="A119" s="5"/>
      <c r="B119" s="5"/>
      <c r="C119" s="1"/>
      <c r="D119" s="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>
      <c r="A120" s="5"/>
      <c r="B120" s="5"/>
      <c r="C120" s="1"/>
      <c r="D120" s="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>
      <c r="A121" s="5"/>
      <c r="B121" s="5"/>
      <c r="C121" s="1"/>
      <c r="D121" s="5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>
      <c r="A122" s="5"/>
      <c r="B122" s="5"/>
      <c r="C122" s="1"/>
      <c r="D122" s="5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>
      <c r="A123" s="5"/>
      <c r="B123" s="5"/>
      <c r="C123" s="1"/>
      <c r="D123" s="5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>
      <c r="A124" s="5"/>
      <c r="B124" s="5"/>
      <c r="C124" s="1"/>
      <c r="D124" s="5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>
      <c r="A125" s="5"/>
      <c r="B125" s="5"/>
      <c r="C125" s="1"/>
      <c r="D125" s="5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>
      <c r="A126" s="5"/>
      <c r="B126" s="5"/>
      <c r="C126" s="1"/>
      <c r="D126" s="5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>
      <c r="A127" s="5"/>
      <c r="B127" s="5"/>
      <c r="C127" s="1"/>
      <c r="D127" s="5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>
      <c r="A128" s="5"/>
      <c r="B128" s="5"/>
      <c r="C128" s="1"/>
      <c r="D128" s="5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>
      <c r="A129" s="5"/>
      <c r="B129" s="5"/>
      <c r="C129" s="1"/>
      <c r="D129" s="5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>
      <c r="A130" s="5"/>
      <c r="B130" s="5"/>
      <c r="C130" s="1"/>
      <c r="D130" s="5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>
      <c r="A131" s="5"/>
      <c r="B131" s="5"/>
      <c r="C131" s="1"/>
      <c r="D131" s="5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>
      <c r="A132" s="5"/>
      <c r="B132" s="5"/>
      <c r="C132" s="1"/>
      <c r="D132" s="5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>
      <c r="A133" s="5"/>
      <c r="B133" s="5"/>
      <c r="C133" s="1"/>
      <c r="D133" s="5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>
      <c r="A134" s="5"/>
      <c r="B134" s="5"/>
      <c r="C134" s="1"/>
      <c r="D134" s="5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>
      <c r="A135" s="5"/>
      <c r="B135" s="5"/>
      <c r="C135" s="1"/>
      <c r="D135" s="5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5"/>
      <c r="B136" s="5"/>
      <c r="C136" s="1"/>
      <c r="D136" s="5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5"/>
      <c r="B137" s="5"/>
      <c r="C137" s="1"/>
      <c r="D137" s="5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5"/>
      <c r="B138" s="5"/>
      <c r="C138" s="1"/>
      <c r="D138" s="5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s="5"/>
      <c r="B139" s="5"/>
      <c r="C139" s="1"/>
      <c r="D139" s="5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>
      <c r="A140" s="5"/>
      <c r="B140" s="5"/>
      <c r="C140" s="1"/>
      <c r="D140" s="5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>
      <c r="A141" s="5"/>
      <c r="B141" s="5"/>
      <c r="C141" s="1"/>
      <c r="D141" s="5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>
      <c r="A142" s="5"/>
      <c r="B142" s="5"/>
      <c r="C142" s="1"/>
      <c r="D142" s="5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>
      <c r="A143" s="5"/>
      <c r="B143" s="5"/>
      <c r="C143" s="1"/>
      <c r="D143" s="5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>
      <c r="A144" s="5"/>
      <c r="B144" s="5"/>
      <c r="C144" s="1"/>
      <c r="D144" s="5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>
      <c r="A145" s="5"/>
      <c r="B145" s="5"/>
      <c r="C145" s="1"/>
      <c r="D145" s="5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>
      <c r="A146" s="5"/>
      <c r="B146" s="5"/>
      <c r="C146" s="1"/>
      <c r="D146" s="5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>
      <c r="A147" s="5"/>
      <c r="B147" s="5"/>
      <c r="C147" s="1"/>
      <c r="D147" s="5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>
      <c r="A148" s="5"/>
      <c r="B148" s="5"/>
      <c r="C148" s="1"/>
      <c r="D148" s="5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>
      <c r="A149" s="5"/>
      <c r="B149" s="5"/>
      <c r="C149" s="1"/>
      <c r="D149" s="5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>
      <c r="A150" s="5"/>
      <c r="B150" s="5"/>
      <c r="C150" s="1"/>
      <c r="D150" s="5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>
      <c r="A151" s="5"/>
      <c r="B151" s="5"/>
      <c r="C151" s="1"/>
      <c r="D151" s="5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>
      <c r="A152" s="5"/>
      <c r="B152" s="5"/>
      <c r="C152" s="1"/>
      <c r="D152" s="5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>
      <c r="A153" s="5"/>
      <c r="B153" s="5"/>
      <c r="C153" s="1"/>
      <c r="D153" s="5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>
      <c r="A154" s="5"/>
      <c r="B154" s="5"/>
      <c r="C154" s="1"/>
      <c r="D154" s="5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>
      <c r="A155" s="5"/>
      <c r="B155" s="5"/>
      <c r="C155" s="1"/>
      <c r="D155" s="5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>
      <c r="A156" s="5"/>
      <c r="B156" s="5"/>
      <c r="C156" s="1"/>
      <c r="D156" s="5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>
      <c r="A157" s="5"/>
      <c r="B157" s="5"/>
      <c r="C157" s="1"/>
      <c r="D157" s="5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>
      <c r="A158" s="5"/>
      <c r="B158" s="5"/>
      <c r="C158" s="1"/>
      <c r="D158" s="5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>
      <c r="A159" s="5"/>
      <c r="B159" s="5"/>
      <c r="C159" s="1"/>
      <c r="D159" s="5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>
      <c r="A160" s="5"/>
      <c r="B160" s="5"/>
      <c r="C160" s="1"/>
      <c r="D160" s="5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>
      <c r="A161" s="5"/>
      <c r="B161" s="5"/>
      <c r="C161" s="1"/>
      <c r="D161" s="5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>
      <c r="A162" s="5"/>
      <c r="B162" s="5"/>
      <c r="C162" s="1"/>
      <c r="D162" s="5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>
      <c r="A163" s="5"/>
      <c r="B163" s="5"/>
      <c r="C163" s="1"/>
      <c r="D163" s="5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>
      <c r="A164" s="5"/>
      <c r="B164" s="5"/>
      <c r="C164" s="1"/>
      <c r="D164" s="5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>
      <c r="A165" s="5"/>
      <c r="B165" s="5"/>
      <c r="C165" s="1"/>
      <c r="D165" s="5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>
      <c r="A166" s="5"/>
      <c r="B166" s="5"/>
      <c r="C166" s="1"/>
      <c r="D166" s="5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>
      <c r="A167" s="5"/>
      <c r="B167" s="5"/>
      <c r="C167" s="1"/>
      <c r="D167" s="5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>
      <c r="A168" s="5"/>
      <c r="B168" s="5"/>
      <c r="C168" s="1"/>
      <c r="D168" s="5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>
      <c r="A169" s="5"/>
      <c r="B169" s="5"/>
      <c r="C169" s="1"/>
      <c r="D169" s="5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>
      <c r="A170" s="5"/>
      <c r="B170" s="5"/>
      <c r="C170" s="1"/>
      <c r="D170" s="5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>
      <c r="A171" s="5"/>
      <c r="B171" s="5"/>
      <c r="C171" s="1"/>
      <c r="D171" s="5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>
      <c r="A172" s="5"/>
      <c r="B172" s="5"/>
      <c r="C172" s="1"/>
      <c r="D172" s="5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>
      <c r="A173" s="5"/>
      <c r="B173" s="5"/>
      <c r="C173" s="1"/>
      <c r="D173" s="5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>
      <c r="A174" s="5"/>
      <c r="B174" s="5"/>
      <c r="C174" s="1"/>
      <c r="D174" s="5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>
      <c r="A175" s="5"/>
      <c r="B175" s="5"/>
      <c r="C175" s="1"/>
      <c r="D175" s="5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>
      <c r="A176" s="5"/>
      <c r="B176" s="5"/>
      <c r="C176" s="1"/>
      <c r="D176" s="5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>
      <c r="A177" s="5"/>
      <c r="B177" s="5"/>
      <c r="C177" s="1"/>
      <c r="D177" s="5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>
      <c r="A178" s="5"/>
      <c r="B178" s="5"/>
      <c r="C178" s="1"/>
      <c r="D178" s="5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>
      <c r="A179" s="5"/>
      <c r="B179" s="5"/>
      <c r="C179" s="1"/>
      <c r="D179" s="5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>
      <c r="A180" s="5"/>
      <c r="B180" s="5"/>
      <c r="C180" s="1"/>
      <c r="D180" s="5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>
      <c r="A181" s="5"/>
      <c r="B181" s="5"/>
      <c r="C181" s="1"/>
      <c r="D181" s="5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>
      <c r="A182" s="5"/>
      <c r="B182" s="5"/>
      <c r="C182" s="1"/>
      <c r="D182" s="5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>
      <c r="A183" s="5"/>
      <c r="B183" s="5"/>
      <c r="C183" s="1"/>
      <c r="D183" s="5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>
      <c r="A184" s="5"/>
      <c r="B184" s="5"/>
      <c r="C184" s="1"/>
      <c r="D184" s="5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>
      <c r="A185" s="5"/>
      <c r="B185" s="5"/>
      <c r="C185" s="1"/>
      <c r="D185" s="5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>
      <c r="A186" s="5"/>
      <c r="B186" s="5"/>
      <c r="C186" s="1"/>
      <c r="D186" s="5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>
      <c r="A187" s="5"/>
      <c r="B187" s="5"/>
      <c r="C187" s="1"/>
      <c r="D187" s="5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>
      <c r="A188" s="5"/>
      <c r="B188" s="5"/>
      <c r="C188" s="1"/>
      <c r="D188" s="5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>
      <c r="A189" s="5"/>
      <c r="B189" s="5"/>
      <c r="C189" s="1"/>
      <c r="D189" s="5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>
      <c r="A190" s="5"/>
      <c r="B190" s="5"/>
      <c r="C190" s="1"/>
      <c r="D190" s="5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>
      <c r="A191" s="5"/>
      <c r="B191" s="5"/>
      <c r="C191" s="1"/>
      <c r="D191" s="5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>
      <c r="A192" s="5"/>
      <c r="B192" s="5"/>
      <c r="C192" s="1"/>
      <c r="D192" s="5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>
      <c r="A193" s="5"/>
      <c r="B193" s="5"/>
      <c r="C193" s="1"/>
      <c r="D193" s="5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>
      <c r="A194" s="5"/>
      <c r="B194" s="5"/>
      <c r="C194" s="1"/>
      <c r="D194" s="5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>
      <c r="A195" s="5"/>
      <c r="B195" s="5"/>
      <c r="C195" s="1"/>
      <c r="D195" s="5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>
      <c r="A196" s="5"/>
      <c r="B196" s="5"/>
      <c r="C196" s="1"/>
      <c r="D196" s="5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>
      <c r="A197" s="5"/>
      <c r="B197" s="5"/>
      <c r="C197" s="1"/>
      <c r="D197" s="5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>
      <c r="A198" s="5"/>
      <c r="B198" s="5"/>
      <c r="C198" s="1"/>
      <c r="D198" s="5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>
      <c r="A199" s="5"/>
      <c r="B199" s="5"/>
      <c r="C199" s="1"/>
      <c r="D199" s="5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>
      <c r="A200" s="5"/>
      <c r="B200" s="5"/>
      <c r="C200" s="1"/>
      <c r="D200" s="5"/>
      <c r="E200" s="1"/>
      <c r="F200" s="1"/>
      <c r="G200" s="1"/>
      <c r="H200" s="3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>
      <c r="A201" s="5"/>
      <c r="B201" s="5"/>
      <c r="C201" s="1"/>
      <c r="D201" s="5"/>
      <c r="E201" s="1"/>
      <c r="F201" s="1"/>
      <c r="G201" s="1"/>
      <c r="H201" s="3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>
      <c r="A202" s="5"/>
      <c r="B202" s="5"/>
      <c r="C202" s="1"/>
      <c r="D202" s="5"/>
      <c r="E202" s="1"/>
      <c r="F202" s="1"/>
      <c r="G202" s="1"/>
      <c r="H202" s="3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>
      <c r="A203" s="5"/>
      <c r="B203" s="5"/>
      <c r="C203" s="1"/>
      <c r="D203" s="5"/>
      <c r="E203" s="1"/>
      <c r="F203" s="1"/>
      <c r="G203" s="1"/>
      <c r="H203" s="3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>
      <c r="A204" s="5"/>
      <c r="B204" s="5"/>
      <c r="C204" s="1"/>
      <c r="D204" s="5"/>
      <c r="E204" s="1"/>
      <c r="F204" s="1"/>
      <c r="G204" s="1"/>
      <c r="H204" s="3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>
      <c r="A205" s="5"/>
      <c r="B205" s="5"/>
      <c r="C205" s="1"/>
      <c r="D205" s="5"/>
      <c r="E205" s="1"/>
      <c r="F205" s="1"/>
      <c r="G205" s="1"/>
      <c r="H205" s="3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>
      <c r="A206" s="5"/>
      <c r="B206" s="5"/>
      <c r="C206" s="1"/>
      <c r="D206" s="5"/>
      <c r="E206" s="1"/>
      <c r="F206" s="1"/>
      <c r="G206" s="1"/>
      <c r="H206" s="3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>
      <c r="A207" s="5"/>
      <c r="B207" s="5"/>
      <c r="C207" s="1"/>
      <c r="D207" s="5"/>
      <c r="E207" s="1"/>
      <c r="F207" s="1"/>
      <c r="G207" s="1"/>
      <c r="H207" s="3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>
      <c r="A208" s="5"/>
      <c r="B208" s="5"/>
      <c r="C208" s="1"/>
      <c r="D208" s="5"/>
      <c r="E208" s="1"/>
      <c r="F208" s="1"/>
      <c r="G208" s="1"/>
      <c r="H208" s="3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>
      <c r="A209" s="5"/>
      <c r="B209" s="5"/>
      <c r="C209" s="1"/>
      <c r="D209" s="5"/>
      <c r="E209" s="1"/>
      <c r="F209" s="1"/>
      <c r="G209" s="1"/>
      <c r="H209" s="3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>
      <c r="A210" s="5"/>
      <c r="B210" s="5"/>
      <c r="C210" s="1"/>
      <c r="D210" s="5"/>
      <c r="E210" s="1"/>
      <c r="F210" s="1"/>
      <c r="G210" s="1"/>
      <c r="H210" s="3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>
      <c r="A211" s="5"/>
      <c r="B211" s="5"/>
      <c r="C211" s="1"/>
      <c r="D211" s="5"/>
      <c r="E211" s="1"/>
      <c r="F211" s="1"/>
      <c r="G211" s="1"/>
      <c r="H211" s="3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>
      <c r="A212" s="5"/>
      <c r="B212" s="5"/>
      <c r="C212" s="1"/>
      <c r="D212" s="5"/>
      <c r="E212" s="1"/>
      <c r="F212" s="1"/>
      <c r="G212" s="1"/>
      <c r="H212" s="3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>
      <c r="A213" s="5"/>
      <c r="B213" s="5"/>
      <c r="C213" s="1"/>
      <c r="D213" s="5"/>
      <c r="E213" s="1"/>
      <c r="F213" s="1"/>
      <c r="G213" s="1"/>
      <c r="H213" s="3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>
      <c r="A214" s="5"/>
      <c r="B214" s="5"/>
      <c r="C214" s="1"/>
      <c r="D214" s="5"/>
      <c r="E214" s="1"/>
      <c r="F214" s="1"/>
      <c r="G214" s="1"/>
      <c r="H214" s="3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>
      <c r="A215" s="5"/>
      <c r="B215" s="5"/>
      <c r="C215" s="1"/>
      <c r="D215" s="5"/>
      <c r="E215" s="1"/>
      <c r="F215" s="1"/>
      <c r="G215" s="1"/>
      <c r="H215" s="3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>
      <c r="A216" s="5"/>
      <c r="B216" s="5"/>
      <c r="C216" s="1"/>
      <c r="D216" s="5"/>
      <c r="E216" s="1"/>
      <c r="F216" s="1"/>
      <c r="G216" s="1"/>
      <c r="H216" s="3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>
      <c r="A217" s="5"/>
      <c r="B217" s="5"/>
      <c r="C217" s="1"/>
      <c r="D217" s="5"/>
      <c r="E217" s="1"/>
      <c r="F217" s="1"/>
      <c r="G217" s="1"/>
      <c r="H217" s="3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>
      <c r="A218" s="5"/>
      <c r="B218" s="5"/>
      <c r="C218" s="1"/>
      <c r="D218" s="5"/>
      <c r="E218" s="1"/>
      <c r="F218" s="1"/>
      <c r="G218" s="1"/>
      <c r="H218" s="3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>
      <c r="A219" s="5"/>
      <c r="B219" s="5"/>
      <c r="C219" s="1"/>
      <c r="D219" s="5"/>
      <c r="E219" s="1"/>
      <c r="F219" s="1"/>
      <c r="G219" s="1"/>
      <c r="H219" s="3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>
      <c r="A220" s="5"/>
      <c r="B220" s="5"/>
      <c r="C220" s="1"/>
      <c r="D220" s="5"/>
      <c r="E220" s="1"/>
      <c r="F220" s="1"/>
      <c r="G220" s="1"/>
      <c r="H220" s="3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>
      <c r="A221" s="5"/>
      <c r="B221" s="5"/>
      <c r="C221" s="1"/>
      <c r="D221" s="5"/>
      <c r="E221" s="1"/>
      <c r="F221" s="1"/>
      <c r="G221" s="1"/>
      <c r="H221" s="3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>
      <c r="A222" s="5"/>
      <c r="B222" s="5"/>
      <c r="C222" s="1"/>
      <c r="D222" s="5"/>
      <c r="E222" s="1"/>
      <c r="F222" s="1"/>
      <c r="G222" s="1"/>
      <c r="H222" s="3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>
      <c r="A223" s="5"/>
      <c r="B223" s="5"/>
      <c r="C223" s="1"/>
      <c r="D223" s="5"/>
      <c r="E223" s="1"/>
      <c r="F223" s="1"/>
      <c r="G223" s="1"/>
      <c r="H223" s="3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>
      <c r="A224" s="5"/>
      <c r="B224" s="5"/>
      <c r="C224" s="1"/>
      <c r="D224" s="5"/>
      <c r="E224" s="1"/>
      <c r="F224" s="1"/>
      <c r="G224" s="1"/>
      <c r="H224" s="3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>
      <c r="A225" s="5"/>
      <c r="B225" s="5"/>
      <c r="C225" s="1"/>
      <c r="D225" s="5"/>
      <c r="E225" s="1"/>
      <c r="F225" s="1"/>
      <c r="G225" s="1"/>
      <c r="H225" s="3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>
      <c r="A226" s="5"/>
      <c r="B226" s="5"/>
      <c r="C226" s="1"/>
      <c r="D226" s="5"/>
      <c r="E226" s="1"/>
      <c r="F226" s="1"/>
      <c r="G226" s="1"/>
      <c r="H226" s="3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>
      <c r="A227" s="5"/>
      <c r="B227" s="5"/>
      <c r="C227" s="1"/>
      <c r="D227" s="5"/>
      <c r="E227" s="1"/>
      <c r="F227" s="1"/>
      <c r="G227" s="1"/>
      <c r="H227" s="3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>
      <c r="A228" s="5"/>
      <c r="B228" s="5"/>
      <c r="C228" s="1"/>
      <c r="D228" s="5"/>
      <c r="E228" s="1"/>
      <c r="F228" s="1"/>
      <c r="G228" s="1"/>
      <c r="H228" s="3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>
      <c r="A229" s="5"/>
      <c r="B229" s="5"/>
      <c r="C229" s="1"/>
      <c r="D229" s="5"/>
      <c r="E229" s="1"/>
      <c r="F229" s="1"/>
      <c r="G229" s="1"/>
      <c r="H229" s="3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>
      <c r="A230" s="5"/>
      <c r="B230" s="5"/>
      <c r="C230" s="1"/>
      <c r="D230" s="5"/>
      <c r="E230" s="1"/>
      <c r="F230" s="1"/>
      <c r="G230" s="1"/>
      <c r="H230" s="3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>
      <c r="A231" s="5"/>
      <c r="B231" s="5"/>
      <c r="C231" s="1"/>
      <c r="D231" s="5"/>
      <c r="E231" s="1"/>
      <c r="F231" s="1"/>
      <c r="G231" s="1"/>
      <c r="H231" s="3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>
      <c r="A232" s="5"/>
      <c r="B232" s="5"/>
      <c r="C232" s="1"/>
      <c r="D232" s="5"/>
      <c r="E232" s="1"/>
      <c r="F232" s="1"/>
      <c r="G232" s="1"/>
      <c r="H232" s="3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>
      <c r="A233" s="5"/>
      <c r="B233" s="5"/>
      <c r="C233" s="1"/>
      <c r="D233" s="5"/>
      <c r="E233" s="1"/>
      <c r="F233" s="1"/>
      <c r="G233" s="1"/>
      <c r="H233" s="3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>
      <c r="A234" s="5"/>
      <c r="B234" s="5"/>
      <c r="C234" s="1"/>
      <c r="D234" s="5"/>
      <c r="E234" s="1"/>
      <c r="F234" s="1"/>
      <c r="G234" s="1"/>
      <c r="H234" s="3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>
      <c r="A235" s="5"/>
      <c r="B235" s="5"/>
      <c r="C235" s="1"/>
      <c r="D235" s="5"/>
      <c r="E235" s="1"/>
      <c r="F235" s="1"/>
      <c r="G235" s="1"/>
      <c r="H235" s="3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>
      <c r="A236" s="5"/>
      <c r="B236" s="5"/>
      <c r="C236" s="1"/>
      <c r="D236" s="5"/>
      <c r="E236" s="1"/>
      <c r="F236" s="1"/>
      <c r="G236" s="1"/>
      <c r="H236" s="3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>
      <c r="A237" s="5"/>
      <c r="B237" s="5"/>
      <c r="C237" s="1"/>
      <c r="D237" s="5"/>
      <c r="E237" s="1"/>
      <c r="F237" s="1"/>
      <c r="G237" s="1"/>
      <c r="H237" s="3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>
      <c r="A238" s="5"/>
      <c r="B238" s="5"/>
      <c r="C238" s="1"/>
      <c r="D238" s="5"/>
      <c r="E238" s="1"/>
      <c r="F238" s="1"/>
      <c r="G238" s="1"/>
      <c r="H238" s="3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>
      <c r="A239" s="5"/>
      <c r="B239" s="5"/>
      <c r="C239" s="1"/>
      <c r="D239" s="5"/>
      <c r="E239" s="1"/>
      <c r="F239" s="1"/>
      <c r="G239" s="1"/>
      <c r="H239" s="3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>
      <c r="A240" s="5"/>
      <c r="B240" s="5"/>
      <c r="C240" s="1"/>
      <c r="D240" s="5"/>
      <c r="E240" s="1"/>
      <c r="F240" s="1"/>
      <c r="G240" s="1"/>
      <c r="H240" s="3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>
      <c r="A241" s="5"/>
      <c r="B241" s="5"/>
      <c r="C241" s="1"/>
      <c r="D241" s="5"/>
      <c r="E241" s="1"/>
      <c r="F241" s="1"/>
      <c r="G241" s="1"/>
      <c r="H241" s="3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>
      <c r="A242" s="5"/>
      <c r="B242" s="5"/>
      <c r="C242" s="1"/>
      <c r="D242" s="5"/>
      <c r="E242" s="1"/>
      <c r="F242" s="1"/>
      <c r="G242" s="1"/>
      <c r="H242" s="3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>
      <c r="A243" s="5"/>
      <c r="B243" s="5"/>
      <c r="C243" s="1"/>
      <c r="D243" s="5"/>
      <c r="E243" s="1"/>
      <c r="F243" s="1"/>
      <c r="G243" s="1"/>
      <c r="H243" s="3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>
      <c r="A244" s="5"/>
      <c r="B244" s="5"/>
      <c r="C244" s="1"/>
      <c r="D244" s="5"/>
      <c r="E244" s="1"/>
      <c r="F244" s="1"/>
      <c r="G244" s="1"/>
      <c r="H244" s="3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>
      <c r="A245" s="5"/>
      <c r="B245" s="5"/>
      <c r="C245" s="1"/>
      <c r="D245" s="5"/>
      <c r="E245" s="1"/>
      <c r="F245" s="1"/>
      <c r="G245" s="1"/>
      <c r="H245" s="3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>
      <c r="A246" s="5"/>
      <c r="B246" s="5"/>
      <c r="C246" s="1"/>
      <c r="D246" s="5"/>
      <c r="E246" s="1"/>
      <c r="F246" s="1"/>
      <c r="G246" s="1"/>
      <c r="H246" s="3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>
      <c r="A247" s="5"/>
      <c r="B247" s="5"/>
      <c r="C247" s="1"/>
      <c r="D247" s="5"/>
      <c r="E247" s="1"/>
      <c r="F247" s="1"/>
      <c r="G247" s="1"/>
      <c r="H247" s="3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>
      <c r="A248" s="5"/>
      <c r="B248" s="5"/>
      <c r="C248" s="1"/>
      <c r="D248" s="5"/>
      <c r="E248" s="1"/>
      <c r="F248" s="1"/>
      <c r="G248" s="1"/>
      <c r="H248" s="3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>
      <c r="A249" s="5"/>
      <c r="B249" s="5"/>
      <c r="C249" s="1"/>
      <c r="D249" s="5"/>
      <c r="E249" s="1"/>
      <c r="F249" s="1"/>
      <c r="G249" s="1"/>
      <c r="H249" s="3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>
      <c r="A250" s="5"/>
      <c r="B250" s="5"/>
      <c r="C250" s="1"/>
      <c r="D250" s="5"/>
      <c r="E250" s="1"/>
      <c r="F250" s="1"/>
      <c r="G250" s="1"/>
      <c r="H250" s="3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>
      <c r="A251" s="5"/>
      <c r="B251" s="5"/>
      <c r="C251" s="1"/>
      <c r="D251" s="5"/>
      <c r="E251" s="1"/>
      <c r="F251" s="1"/>
      <c r="G251" s="1"/>
      <c r="H251" s="3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>
      <c r="A252" s="5"/>
      <c r="B252" s="5"/>
      <c r="C252" s="1"/>
      <c r="D252" s="5"/>
      <c r="E252" s="1"/>
      <c r="F252" s="1"/>
      <c r="G252" s="1"/>
      <c r="H252" s="3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>
      <c r="A253" s="5"/>
      <c r="B253" s="5"/>
      <c r="C253" s="1"/>
      <c r="D253" s="5"/>
      <c r="E253" s="1"/>
      <c r="F253" s="1"/>
      <c r="G253" s="1"/>
      <c r="H253" s="3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>
      <c r="A254" s="5"/>
      <c r="B254" s="5"/>
      <c r="C254" s="1"/>
      <c r="D254" s="5"/>
      <c r="E254" s="1"/>
      <c r="F254" s="1"/>
      <c r="G254" s="1"/>
      <c r="H254" s="3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>
      <c r="A255" s="5"/>
      <c r="B255" s="5"/>
      <c r="C255" s="1"/>
      <c r="D255" s="5"/>
      <c r="E255" s="1"/>
      <c r="F255" s="1"/>
      <c r="G255" s="1"/>
      <c r="H255" s="3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>
      <c r="A256" s="5"/>
      <c r="B256" s="5"/>
      <c r="C256" s="1"/>
      <c r="D256" s="5"/>
      <c r="E256" s="1"/>
      <c r="F256" s="1"/>
      <c r="G256" s="1"/>
      <c r="H256" s="3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>
      <c r="A257" s="5"/>
      <c r="B257" s="5"/>
      <c r="C257" s="1"/>
      <c r="D257" s="5"/>
      <c r="E257" s="1"/>
      <c r="F257" s="1"/>
      <c r="G257" s="1"/>
      <c r="H257" s="3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>
      <c r="A258" s="5"/>
      <c r="B258" s="5"/>
      <c r="C258" s="1"/>
      <c r="D258" s="5"/>
      <c r="E258" s="1"/>
      <c r="F258" s="1"/>
      <c r="G258" s="1"/>
      <c r="H258" s="3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>
      <c r="A259" s="5"/>
      <c r="B259" s="5"/>
      <c r="C259" s="1"/>
      <c r="D259" s="5"/>
      <c r="E259" s="1"/>
      <c r="F259" s="1"/>
      <c r="G259" s="1"/>
      <c r="H259" s="3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>
      <c r="A260" s="5"/>
      <c r="B260" s="5"/>
      <c r="C260" s="1"/>
      <c r="D260" s="5"/>
      <c r="E260" s="1"/>
      <c r="F260" s="1"/>
      <c r="G260" s="1"/>
      <c r="H260" s="3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>
      <c r="A261" s="5"/>
      <c r="B261" s="5"/>
      <c r="C261" s="1"/>
      <c r="D261" s="5"/>
      <c r="E261" s="1"/>
      <c r="F261" s="1"/>
      <c r="G261" s="1"/>
      <c r="H261" s="3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>
      <c r="A262" s="5"/>
      <c r="B262" s="5"/>
      <c r="C262" s="1"/>
      <c r="D262" s="5"/>
      <c r="E262" s="1"/>
      <c r="F262" s="1"/>
      <c r="G262" s="1"/>
      <c r="H262" s="3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>
      <c r="A263" s="5"/>
      <c r="B263" s="5"/>
      <c r="C263" s="1"/>
      <c r="D263" s="5"/>
      <c r="E263" s="1"/>
      <c r="F263" s="1"/>
      <c r="G263" s="1"/>
      <c r="H263" s="3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>
      <c r="A264" s="5"/>
      <c r="B264" s="5"/>
      <c r="C264" s="1"/>
      <c r="D264" s="5"/>
      <c r="E264" s="1"/>
      <c r="F264" s="1"/>
      <c r="G264" s="1"/>
      <c r="H264" s="3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>
      <c r="A265" s="5"/>
      <c r="B265" s="5"/>
      <c r="C265" s="1"/>
      <c r="D265" s="5"/>
      <c r="E265" s="1"/>
      <c r="F265" s="1"/>
      <c r="G265" s="1"/>
      <c r="H265" s="3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>
      <c r="A266" s="5"/>
      <c r="B266" s="5"/>
      <c r="C266" s="1"/>
      <c r="D266" s="5"/>
      <c r="E266" s="1"/>
      <c r="F266" s="1"/>
      <c r="G266" s="1"/>
      <c r="H266" s="3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>
      <c r="A267" s="5"/>
      <c r="B267" s="5"/>
      <c r="C267" s="1"/>
      <c r="D267" s="5"/>
      <c r="E267" s="1"/>
      <c r="F267" s="1"/>
      <c r="G267" s="1"/>
      <c r="H267" s="3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>
      <c r="A268" s="5"/>
      <c r="B268" s="5"/>
      <c r="C268" s="1"/>
      <c r="D268" s="5"/>
      <c r="E268" s="1"/>
      <c r="F268" s="1"/>
      <c r="G268" s="1"/>
      <c r="H268" s="3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>
      <c r="A269" s="5"/>
      <c r="B269" s="5"/>
      <c r="C269" s="1"/>
      <c r="D269" s="5"/>
      <c r="E269" s="1"/>
      <c r="F269" s="1"/>
      <c r="G269" s="1"/>
      <c r="H269" s="3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>
      <c r="A270" s="5"/>
      <c r="B270" s="5"/>
      <c r="C270" s="1"/>
      <c r="D270" s="5"/>
      <c r="E270" s="1"/>
      <c r="F270" s="1"/>
      <c r="G270" s="1"/>
      <c r="H270" s="3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>
      <c r="A271" s="5"/>
      <c r="B271" s="5"/>
      <c r="C271" s="1"/>
      <c r="D271" s="5"/>
      <c r="E271" s="1"/>
      <c r="F271" s="1"/>
      <c r="G271" s="1"/>
      <c r="H271" s="3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>
      <c r="A272" s="5"/>
      <c r="B272" s="5"/>
      <c r="C272" s="1"/>
      <c r="D272" s="5"/>
      <c r="E272" s="1"/>
      <c r="F272" s="1"/>
      <c r="G272" s="1"/>
      <c r="H272" s="3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>
      <c r="A273" s="5"/>
      <c r="B273" s="5"/>
      <c r="C273" s="1"/>
      <c r="D273" s="5"/>
      <c r="E273" s="1"/>
      <c r="F273" s="1"/>
      <c r="G273" s="1"/>
      <c r="H273" s="3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>
      <c r="A274" s="5"/>
      <c r="B274" s="5"/>
      <c r="C274" s="1"/>
      <c r="D274" s="5"/>
      <c r="E274" s="1"/>
      <c r="F274" s="1"/>
      <c r="G274" s="1"/>
      <c r="H274" s="3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>
      <c r="A275" s="5"/>
      <c r="B275" s="5"/>
      <c r="C275" s="1"/>
      <c r="D275" s="5"/>
      <c r="E275" s="1"/>
      <c r="F275" s="1"/>
      <c r="G275" s="1"/>
      <c r="H275" s="3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>
      <c r="A276" s="5"/>
      <c r="B276" s="5"/>
      <c r="C276" s="1"/>
      <c r="D276" s="5"/>
      <c r="E276" s="1"/>
      <c r="F276" s="1"/>
      <c r="G276" s="1"/>
      <c r="H276" s="3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>
      <c r="A277" s="5"/>
      <c r="B277" s="5"/>
      <c r="C277" s="1"/>
      <c r="D277" s="5"/>
      <c r="E277" s="1"/>
      <c r="F277" s="1"/>
      <c r="G277" s="1"/>
      <c r="H277" s="3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>
      <c r="A278" s="5"/>
      <c r="B278" s="5"/>
      <c r="C278" s="1"/>
      <c r="D278" s="5"/>
      <c r="E278" s="1"/>
      <c r="F278" s="1"/>
      <c r="G278" s="1"/>
      <c r="H278" s="3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>
      <c r="A279" s="5"/>
      <c r="B279" s="5"/>
      <c r="C279" s="1"/>
      <c r="D279" s="5"/>
      <c r="E279" s="1"/>
      <c r="F279" s="1"/>
      <c r="G279" s="1"/>
      <c r="H279" s="3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>
      <c r="A280" s="5"/>
      <c r="B280" s="5"/>
      <c r="C280" s="1"/>
      <c r="D280" s="5"/>
      <c r="E280" s="1"/>
      <c r="F280" s="1"/>
      <c r="G280" s="1"/>
      <c r="H280" s="3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>
      <c r="A281" s="5"/>
      <c r="B281" s="5"/>
      <c r="C281" s="1"/>
      <c r="D281" s="5"/>
      <c r="E281" s="1"/>
      <c r="F281" s="1"/>
      <c r="G281" s="1"/>
      <c r="H281" s="3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spans="1:30">
      <c r="A282" s="5"/>
      <c r="B282" s="5"/>
      <c r="C282" s="1"/>
      <c r="D282" s="5"/>
      <c r="E282" s="1"/>
      <c r="F282" s="1"/>
      <c r="G282" s="1"/>
      <c r="H282" s="3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spans="1:30">
      <c r="A283" s="5"/>
      <c r="B283" s="5"/>
      <c r="C283" s="1"/>
      <c r="D283" s="5"/>
      <c r="E283" s="1"/>
      <c r="F283" s="1"/>
      <c r="G283" s="1"/>
      <c r="H283" s="3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spans="1:30">
      <c r="A284" s="5"/>
      <c r="B284" s="5"/>
      <c r="C284" s="1"/>
      <c r="D284" s="5"/>
      <c r="E284" s="1"/>
      <c r="F284" s="1"/>
      <c r="G284" s="1"/>
      <c r="H284" s="3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spans="1:30">
      <c r="A285" s="5"/>
      <c r="B285" s="5"/>
      <c r="C285" s="1"/>
      <c r="D285" s="5"/>
      <c r="E285" s="1"/>
      <c r="F285" s="1"/>
      <c r="G285" s="1"/>
      <c r="H285" s="3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spans="1:30">
      <c r="A286" s="5"/>
      <c r="B286" s="5"/>
      <c r="C286" s="1"/>
      <c r="D286" s="5"/>
      <c r="E286" s="1"/>
      <c r="F286" s="1"/>
      <c r="G286" s="1"/>
      <c r="H286" s="3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spans="1:30">
      <c r="A287" s="5"/>
      <c r="B287" s="5"/>
      <c r="C287" s="1"/>
      <c r="D287" s="5"/>
      <c r="E287" s="1"/>
      <c r="F287" s="1"/>
      <c r="G287" s="1"/>
      <c r="H287" s="3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spans="1:30">
      <c r="A288" s="5"/>
      <c r="B288" s="5"/>
      <c r="C288" s="1"/>
      <c r="D288" s="5"/>
      <c r="E288" s="1"/>
      <c r="F288" s="1"/>
      <c r="G288" s="1"/>
      <c r="H288" s="3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spans="1:30">
      <c r="A289" s="5"/>
      <c r="B289" s="5"/>
      <c r="C289" s="1"/>
      <c r="D289" s="5"/>
      <c r="E289" s="1"/>
      <c r="F289" s="1"/>
      <c r="G289" s="1"/>
      <c r="H289" s="3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spans="1:30">
      <c r="A290" s="5"/>
      <c r="B290" s="5"/>
      <c r="C290" s="1"/>
      <c r="D290" s="5"/>
      <c r="E290" s="1"/>
      <c r="F290" s="1"/>
      <c r="G290" s="1"/>
      <c r="H290" s="3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spans="1:30">
      <c r="A291" s="5"/>
      <c r="B291" s="5"/>
      <c r="C291" s="1"/>
      <c r="D291" s="5"/>
      <c r="E291" s="1"/>
      <c r="F291" s="1"/>
      <c r="G291" s="1"/>
      <c r="H291" s="3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spans="1:30">
      <c r="A292" s="5"/>
      <c r="B292" s="5"/>
      <c r="C292" s="1"/>
      <c r="D292" s="5"/>
      <c r="E292" s="1"/>
      <c r="F292" s="1"/>
      <c r="G292" s="1"/>
      <c r="H292" s="3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spans="1:30">
      <c r="A293" s="5"/>
      <c r="B293" s="5"/>
      <c r="C293" s="1"/>
      <c r="D293" s="5"/>
      <c r="E293" s="1"/>
      <c r="F293" s="1"/>
      <c r="G293" s="1"/>
      <c r="H293" s="3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spans="1:30">
      <c r="A294" s="5"/>
      <c r="B294" s="5"/>
      <c r="C294" s="1"/>
      <c r="D294" s="5"/>
      <c r="E294" s="1"/>
      <c r="F294" s="1"/>
      <c r="G294" s="1"/>
      <c r="H294" s="3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spans="1:30">
      <c r="A295" s="5"/>
      <c r="B295" s="5"/>
      <c r="C295" s="1"/>
      <c r="D295" s="5"/>
      <c r="E295" s="1"/>
      <c r="F295" s="1"/>
      <c r="G295" s="1"/>
      <c r="H295" s="3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spans="1:30">
      <c r="A296" s="5"/>
      <c r="B296" s="5"/>
      <c r="C296" s="1"/>
      <c r="D296" s="5"/>
      <c r="E296" s="1"/>
      <c r="F296" s="1"/>
      <c r="G296" s="1"/>
      <c r="H296" s="3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30">
      <c r="A297" s="5"/>
      <c r="B297" s="5"/>
      <c r="C297" s="1"/>
      <c r="D297" s="5"/>
      <c r="E297" s="1"/>
      <c r="F297" s="1"/>
      <c r="G297" s="1"/>
      <c r="H297" s="3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spans="1:30">
      <c r="A298" s="5"/>
      <c r="B298" s="5"/>
      <c r="C298" s="1"/>
      <c r="D298" s="5"/>
      <c r="E298" s="1"/>
      <c r="F298" s="1"/>
      <c r="G298" s="1"/>
      <c r="H298" s="3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spans="1:30">
      <c r="A299" s="5"/>
      <c r="B299" s="5"/>
      <c r="C299" s="1"/>
      <c r="D299" s="5"/>
      <c r="E299" s="1"/>
      <c r="F299" s="1"/>
      <c r="G299" s="1"/>
      <c r="H299" s="3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spans="1:30">
      <c r="A300" s="5"/>
      <c r="B300" s="5"/>
      <c r="C300" s="1"/>
      <c r="D300" s="5"/>
      <c r="E300" s="1"/>
      <c r="F300" s="1"/>
      <c r="G300" s="1"/>
      <c r="H300" s="3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spans="1:30">
      <c r="A301" s="5"/>
      <c r="B301" s="5"/>
      <c r="C301" s="1"/>
      <c r="D301" s="5"/>
      <c r="E301" s="1"/>
      <c r="F301" s="1"/>
      <c r="G301" s="1"/>
      <c r="H301" s="3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spans="1:30">
      <c r="A302" s="5"/>
      <c r="B302" s="5"/>
      <c r="C302" s="1"/>
      <c r="D302" s="5"/>
      <c r="E302" s="1"/>
      <c r="F302" s="1"/>
      <c r="G302" s="1"/>
      <c r="H302" s="3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spans="1:30">
      <c r="A303" s="5"/>
      <c r="B303" s="5"/>
      <c r="C303" s="1"/>
      <c r="D303" s="5"/>
      <c r="E303" s="1"/>
      <c r="F303" s="1"/>
      <c r="G303" s="1"/>
      <c r="H303" s="3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spans="1:30">
      <c r="A304" s="5"/>
      <c r="B304" s="5"/>
      <c r="C304" s="1"/>
      <c r="D304" s="5"/>
      <c r="E304" s="1"/>
      <c r="F304" s="1"/>
      <c r="G304" s="1"/>
      <c r="H304" s="3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spans="1:30">
      <c r="A305" s="5"/>
      <c r="B305" s="5"/>
      <c r="C305" s="1"/>
      <c r="D305" s="5"/>
      <c r="E305" s="1"/>
      <c r="F305" s="1"/>
      <c r="G305" s="1"/>
      <c r="H305" s="3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</sheetData>
  <mergeCells count="5">
    <mergeCell ref="F1:M1"/>
    <mergeCell ref="X5:Y5"/>
    <mergeCell ref="X4:Y4"/>
    <mergeCell ref="R5:V5"/>
    <mergeCell ref="H2:M2"/>
  </mergeCells>
  <conditionalFormatting sqref="G18:M18">
    <cfRule type="expression" dxfId="10" priority="537">
      <formula>$B$1=ROW()</formula>
    </cfRule>
    <cfRule type="expression" dxfId="9" priority="538">
      <formula>AND(MOD(ROW(),2)=0,$M3)</formula>
    </cfRule>
  </conditionalFormatting>
  <conditionalFormatting sqref="G13:M41">
    <cfRule type="expression" dxfId="8" priority="528">
      <formula>$B$1=ROW()</formula>
    </cfRule>
    <cfRule type="expression" dxfId="7" priority="534">
      <formula>AND(MOD(ROW(),2)=0,$M6)</formula>
    </cfRule>
  </conditionalFormatting>
  <conditionalFormatting sqref="Y6">
    <cfRule type="containsText" dxfId="6" priority="527" operator="containsText" text=":">
      <formula>NOT(ISERROR(SEARCH(":",Y6)))</formula>
    </cfRule>
  </conditionalFormatting>
  <conditionalFormatting sqref="Y24">
    <cfRule type="expression" dxfId="5" priority="508">
      <formula>$X$24=""</formula>
    </cfRule>
  </conditionalFormatting>
  <conditionalFormatting sqref="E2:E5">
    <cfRule type="expression" dxfId="4" priority="75">
      <formula>$X$24=""</formula>
    </cfRule>
  </conditionalFormatting>
  <conditionalFormatting sqref="E7 E9 E17 E25 E28 E31">
    <cfRule type="expression" dxfId="3" priority="3">
      <formula>$X$24=""</formula>
    </cfRule>
  </conditionalFormatting>
  <conditionalFormatting sqref="E6">
    <cfRule type="containsText" dxfId="2" priority="2" operator="containsText" text=":">
      <formula>NOT(ISERROR(SEARCH(":",E6)))</formula>
    </cfRule>
  </conditionalFormatting>
  <conditionalFormatting sqref="E8">
    <cfRule type="containsText" dxfId="1" priority="1" operator="containsText" text=":">
      <formula>NOT(ISERROR(SEARCH(":",E8)))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G45"/>
  <sheetViews>
    <sheetView zoomScale="85" zoomScaleNormal="85" workbookViewId="0">
      <selection activeCell="A33" sqref="A33:G33"/>
    </sheetView>
  </sheetViews>
  <sheetFormatPr defaultColWidth="8" defaultRowHeight="15"/>
  <cols>
    <col min="1" max="1" width="11.28515625" style="6" customWidth="1"/>
    <col min="2" max="2" width="25.42578125" customWidth="1"/>
    <col min="3" max="3" width="17.7109375" customWidth="1"/>
    <col min="4" max="4" width="12.85546875" customWidth="1"/>
    <col min="5" max="5" width="15.140625" style="4" customWidth="1"/>
    <col min="6" max="6" width="12.7109375" style="72" customWidth="1"/>
    <col min="7" max="7" width="14.5703125" style="107" customWidth="1"/>
    <col min="11" max="11" width="25.42578125" customWidth="1"/>
    <col min="12" max="12" width="2.85546875" customWidth="1"/>
    <col min="13" max="25" width="1.140625" customWidth="1"/>
    <col min="26" max="26" width="13.42578125" customWidth="1"/>
    <col min="27" max="27" width="6.5703125" bestFit="1" customWidth="1"/>
    <col min="28" max="28" width="7.42578125" bestFit="1" customWidth="1"/>
    <col min="29" max="29" width="12.5703125" customWidth="1"/>
    <col min="30" max="30" width="6.42578125" bestFit="1" customWidth="1"/>
    <col min="31" max="31" width="13.7109375" bestFit="1" customWidth="1"/>
    <col min="32" max="32" width="11.42578125" bestFit="1" customWidth="1"/>
    <col min="33" max="33" width="10.140625" style="102" bestFit="1" customWidth="1"/>
    <col min="34" max="34" width="13.7109375" bestFit="1" customWidth="1"/>
    <col min="35" max="35" width="11.42578125" bestFit="1" customWidth="1"/>
    <col min="36" max="36" width="10.140625" bestFit="1" customWidth="1"/>
    <col min="37" max="37" width="7.140625" customWidth="1"/>
    <col min="38" max="52" width="0.85546875" customWidth="1"/>
    <col min="55" max="55" width="12.5703125" bestFit="1" customWidth="1"/>
    <col min="57" max="57" width="13.7109375" bestFit="1" customWidth="1"/>
    <col min="60" max="73" width="1.140625" customWidth="1"/>
    <col min="74" max="76" width="0.42578125" customWidth="1"/>
    <col min="77" max="77" width="19.140625" bestFit="1" customWidth="1"/>
    <col min="78" max="78" width="9.7109375" customWidth="1"/>
    <col min="81" max="81" width="12.5703125" bestFit="1" customWidth="1"/>
    <col min="83" max="83" width="13.7109375" bestFit="1" customWidth="1"/>
    <col min="86" max="101" width="0.5703125" customWidth="1"/>
    <col min="103" max="103" width="19.140625" bestFit="1" customWidth="1"/>
    <col min="104" max="104" width="9.7109375" customWidth="1"/>
    <col min="107" max="107" width="12.5703125" bestFit="1" customWidth="1"/>
    <col min="109" max="109" width="13.7109375" bestFit="1" customWidth="1"/>
  </cols>
  <sheetData>
    <row r="1" spans="1:111" ht="20.25" customHeight="1">
      <c r="A1" s="121" t="s">
        <v>33</v>
      </c>
      <c r="B1" s="122"/>
      <c r="C1" s="122"/>
      <c r="D1" s="122"/>
      <c r="E1" s="122"/>
      <c r="F1" s="122"/>
      <c r="G1" s="123"/>
      <c r="K1" s="124" t="s">
        <v>65</v>
      </c>
      <c r="AA1" s="119" t="s">
        <v>107</v>
      </c>
      <c r="AB1" s="119"/>
      <c r="AC1" s="119"/>
      <c r="AD1" s="119"/>
      <c r="AE1" s="119"/>
      <c r="AF1" s="119"/>
      <c r="AG1" s="119"/>
      <c r="AH1" s="119"/>
      <c r="AI1" s="119"/>
      <c r="AJ1" s="119"/>
      <c r="BA1" s="119" t="s">
        <v>105</v>
      </c>
      <c r="BB1" s="119"/>
      <c r="BC1" s="119"/>
      <c r="BD1" s="119"/>
      <c r="BE1" s="119"/>
      <c r="BF1" s="119"/>
      <c r="BG1" s="119"/>
      <c r="BY1" s="108" t="s">
        <v>106</v>
      </c>
      <c r="CA1" s="119" t="s">
        <v>108</v>
      </c>
      <c r="CB1" s="119"/>
      <c r="CC1" s="119"/>
      <c r="CD1" s="119"/>
      <c r="CE1" s="119"/>
      <c r="CF1" s="119"/>
      <c r="CG1" s="119"/>
      <c r="CY1" s="108" t="s">
        <v>109</v>
      </c>
      <c r="DA1" s="119" t="s">
        <v>110</v>
      </c>
      <c r="DB1" s="119"/>
      <c r="DC1" s="119"/>
      <c r="DD1" s="119"/>
      <c r="DE1" s="119"/>
      <c r="DF1" s="119"/>
      <c r="DG1" s="119"/>
    </row>
    <row r="2" spans="1:111" ht="15" customHeight="1" thickBot="1">
      <c r="A2" s="42" t="s">
        <v>11</v>
      </c>
      <c r="B2" s="41" t="s">
        <v>11</v>
      </c>
      <c r="C2" s="41" t="s">
        <v>12</v>
      </c>
      <c r="D2" s="41" t="s">
        <v>12</v>
      </c>
      <c r="E2" s="64" t="s">
        <v>31</v>
      </c>
      <c r="F2" s="68" t="s">
        <v>32</v>
      </c>
      <c r="G2" s="103" t="s">
        <v>13</v>
      </c>
      <c r="K2" s="125"/>
      <c r="AA2" s="89"/>
      <c r="AB2" s="90"/>
      <c r="AC2" s="90"/>
      <c r="AD2" s="90"/>
      <c r="AE2" s="90"/>
      <c r="AF2" s="90"/>
      <c r="AG2" s="100"/>
      <c r="AH2" s="91" t="s">
        <v>69</v>
      </c>
      <c r="AI2" s="91" t="s">
        <v>69</v>
      </c>
      <c r="AJ2" s="91" t="s">
        <v>69</v>
      </c>
      <c r="BA2" s="120"/>
      <c r="BB2" s="120"/>
      <c r="BC2" s="120"/>
      <c r="BD2" s="120"/>
      <c r="BE2" s="120"/>
      <c r="BF2" s="120"/>
      <c r="BG2" s="120"/>
      <c r="BY2" s="90"/>
      <c r="CA2" s="120"/>
      <c r="CB2" s="120"/>
      <c r="CC2" s="120"/>
      <c r="CD2" s="120"/>
      <c r="CE2" s="120"/>
      <c r="CF2" s="120"/>
      <c r="CG2" s="120"/>
      <c r="CY2" s="90"/>
      <c r="DA2" s="120"/>
      <c r="DB2" s="120"/>
      <c r="DC2" s="120"/>
      <c r="DD2" s="120"/>
      <c r="DE2" s="120"/>
      <c r="DF2" s="120"/>
      <c r="DG2" s="120"/>
    </row>
    <row r="3" spans="1:111" ht="15.75" thickBot="1">
      <c r="A3" s="43" t="s">
        <v>4</v>
      </c>
      <c r="B3" s="44" t="s">
        <v>10</v>
      </c>
      <c r="C3" s="44" t="s">
        <v>6</v>
      </c>
      <c r="D3" s="44" t="s">
        <v>7</v>
      </c>
      <c r="E3" s="65" t="s">
        <v>8</v>
      </c>
      <c r="F3" s="69" t="s">
        <v>42</v>
      </c>
      <c r="G3" s="104" t="s">
        <v>39</v>
      </c>
      <c r="K3" s="44"/>
      <c r="AA3" s="78" t="s">
        <v>4</v>
      </c>
      <c r="AB3" s="79" t="s">
        <v>10</v>
      </c>
      <c r="AC3" s="79" t="s">
        <v>6</v>
      </c>
      <c r="AD3" s="79" t="s">
        <v>7</v>
      </c>
      <c r="AE3" s="80" t="s">
        <v>8</v>
      </c>
      <c r="AF3" s="81" t="s">
        <v>42</v>
      </c>
      <c r="AG3" s="101" t="s">
        <v>39</v>
      </c>
      <c r="AH3" s="82" t="s">
        <v>8</v>
      </c>
      <c r="AI3" s="83" t="s">
        <v>42</v>
      </c>
      <c r="AJ3" s="84" t="s">
        <v>39</v>
      </c>
      <c r="BA3" s="43" t="s">
        <v>4</v>
      </c>
      <c r="BB3" s="44" t="s">
        <v>10</v>
      </c>
      <c r="BC3" s="44" t="s">
        <v>6</v>
      </c>
      <c r="BD3" s="44" t="s">
        <v>7</v>
      </c>
      <c r="BE3" s="65" t="s">
        <v>8</v>
      </c>
      <c r="BF3" s="69" t="s">
        <v>42</v>
      </c>
      <c r="BG3" s="45" t="s">
        <v>39</v>
      </c>
      <c r="BY3" s="79" t="s">
        <v>6</v>
      </c>
      <c r="CA3" s="43" t="s">
        <v>4</v>
      </c>
      <c r="CB3" s="44" t="s">
        <v>10</v>
      </c>
      <c r="CC3" s="44" t="s">
        <v>6</v>
      </c>
      <c r="CD3" s="44" t="s">
        <v>7</v>
      </c>
      <c r="CE3" s="65" t="s">
        <v>8</v>
      </c>
      <c r="CF3" s="69" t="s">
        <v>42</v>
      </c>
      <c r="CG3" s="45" t="s">
        <v>39</v>
      </c>
      <c r="CY3" s="79" t="s">
        <v>7</v>
      </c>
      <c r="DA3" s="43" t="s">
        <v>4</v>
      </c>
      <c r="DB3" s="44" t="s">
        <v>10</v>
      </c>
      <c r="DC3" s="44" t="s">
        <v>6</v>
      </c>
      <c r="DD3" s="44" t="s">
        <v>7</v>
      </c>
      <c r="DE3" s="65" t="s">
        <v>8</v>
      </c>
      <c r="DF3" s="69" t="s">
        <v>42</v>
      </c>
      <c r="DG3" s="45" t="s">
        <v>39</v>
      </c>
    </row>
    <row r="4" spans="1:111">
      <c r="A4" s="60" t="s">
        <v>76</v>
      </c>
      <c r="B4" s="61" t="s">
        <v>21</v>
      </c>
      <c r="C4" s="61" t="s">
        <v>14</v>
      </c>
      <c r="D4" s="61" t="s">
        <v>26</v>
      </c>
      <c r="E4" s="66">
        <v>43102</v>
      </c>
      <c r="F4" s="70">
        <v>10</v>
      </c>
      <c r="G4" s="105">
        <v>20</v>
      </c>
      <c r="K4" s="61"/>
      <c r="Z4" s="85"/>
      <c r="BA4" s="60"/>
      <c r="BB4" s="61"/>
      <c r="BC4" s="61"/>
      <c r="BD4" s="61"/>
      <c r="BE4" s="66"/>
      <c r="BF4" s="70"/>
      <c r="BG4" s="105"/>
      <c r="CA4" s="60"/>
      <c r="CB4" s="61"/>
      <c r="CC4" s="61"/>
      <c r="CD4" s="61"/>
      <c r="CE4" s="66"/>
      <c r="CF4" s="70"/>
      <c r="CG4" s="105"/>
      <c r="DA4" s="60"/>
      <c r="DB4" s="61"/>
      <c r="DC4" s="61"/>
      <c r="DD4" s="61"/>
      <c r="DE4" s="66"/>
      <c r="DF4" s="70"/>
      <c r="DG4" s="105"/>
    </row>
    <row r="5" spans="1:111">
      <c r="A5" s="62" t="s">
        <v>77</v>
      </c>
      <c r="B5" s="63" t="s">
        <v>22</v>
      </c>
      <c r="C5" s="63" t="s">
        <v>17</v>
      </c>
      <c r="D5" s="63" t="s">
        <v>111</v>
      </c>
      <c r="E5" s="67">
        <v>43465</v>
      </c>
      <c r="F5" s="71">
        <v>100</v>
      </c>
      <c r="G5" s="106">
        <v>144</v>
      </c>
      <c r="K5" s="63"/>
      <c r="Z5" s="85"/>
      <c r="BA5" s="62"/>
      <c r="BB5" s="63"/>
      <c r="BC5" s="63"/>
      <c r="BD5" s="63"/>
      <c r="BE5" s="67"/>
      <c r="BF5" s="71"/>
      <c r="BG5" s="106"/>
      <c r="CA5" s="62"/>
      <c r="CB5" s="63"/>
      <c r="CC5" s="63"/>
      <c r="CD5" s="63"/>
      <c r="CE5" s="67"/>
      <c r="CF5" s="71"/>
      <c r="CG5" s="106"/>
      <c r="DA5" s="62"/>
      <c r="DB5" s="63"/>
      <c r="DC5" s="63"/>
      <c r="DD5" s="63"/>
      <c r="DE5" s="67"/>
      <c r="DF5" s="71"/>
      <c r="DG5" s="106"/>
    </row>
    <row r="6" spans="1:111">
      <c r="A6" s="62" t="s">
        <v>78</v>
      </c>
      <c r="B6" s="63" t="s">
        <v>20</v>
      </c>
      <c r="C6" s="63" t="s">
        <v>16</v>
      </c>
      <c r="D6" s="63" t="s">
        <v>28</v>
      </c>
      <c r="E6" s="67">
        <v>43343</v>
      </c>
      <c r="F6" s="71">
        <v>25</v>
      </c>
      <c r="G6" s="106">
        <v>114</v>
      </c>
      <c r="K6" s="63"/>
      <c r="Z6" s="85"/>
      <c r="BA6" s="62"/>
      <c r="BB6" s="63"/>
      <c r="BC6" s="63"/>
      <c r="BD6" s="63"/>
      <c r="BE6" s="67"/>
      <c r="BF6" s="71"/>
      <c r="BG6" s="106"/>
      <c r="CA6" s="62"/>
      <c r="CB6" s="63"/>
      <c r="CC6" s="63"/>
      <c r="CD6" s="63"/>
      <c r="CE6" s="67"/>
      <c r="CF6" s="71"/>
      <c r="CG6" s="106"/>
      <c r="DA6" s="62"/>
      <c r="DB6" s="63"/>
      <c r="DC6" s="63"/>
      <c r="DD6" s="63"/>
      <c r="DE6" s="67"/>
      <c r="DF6" s="71"/>
      <c r="DG6" s="106"/>
    </row>
    <row r="7" spans="1:111">
      <c r="A7" s="62" t="s">
        <v>79</v>
      </c>
      <c r="B7" s="63" t="s">
        <v>19</v>
      </c>
      <c r="C7" s="63" t="s">
        <v>17</v>
      </c>
      <c r="D7" s="63" t="s">
        <v>29</v>
      </c>
      <c r="E7" s="67">
        <v>43397</v>
      </c>
      <c r="F7" s="71">
        <v>88</v>
      </c>
      <c r="G7" s="106">
        <v>94</v>
      </c>
      <c r="K7" s="63"/>
      <c r="Z7" s="85"/>
      <c r="BA7" s="62"/>
      <c r="BB7" s="63"/>
      <c r="BC7" s="63"/>
      <c r="BD7" s="63"/>
      <c r="BE7" s="67"/>
      <c r="BF7" s="71"/>
      <c r="BG7" s="106"/>
      <c r="CA7" s="62"/>
      <c r="CB7" s="63"/>
      <c r="CC7" s="63"/>
      <c r="CD7" s="63"/>
      <c r="CE7" s="67"/>
      <c r="CF7" s="71"/>
      <c r="CG7" s="106"/>
      <c r="DA7" s="62"/>
      <c r="DB7" s="63"/>
      <c r="DC7" s="63"/>
      <c r="DD7" s="63"/>
      <c r="DE7" s="67"/>
      <c r="DF7" s="71"/>
      <c r="DG7" s="106"/>
    </row>
    <row r="8" spans="1:111">
      <c r="A8" s="62" t="s">
        <v>80</v>
      </c>
      <c r="B8" s="63" t="s">
        <v>23</v>
      </c>
      <c r="C8" s="63" t="s">
        <v>18</v>
      </c>
      <c r="D8" s="63" t="s">
        <v>30</v>
      </c>
      <c r="E8" s="67">
        <v>43393</v>
      </c>
      <c r="F8" s="71">
        <v>94</v>
      </c>
      <c r="G8" s="106">
        <v>51</v>
      </c>
      <c r="K8" s="63"/>
      <c r="Z8" s="85"/>
      <c r="BA8" s="62"/>
      <c r="BB8" s="63"/>
      <c r="BC8" s="63"/>
      <c r="BD8" s="63"/>
      <c r="BE8" s="67"/>
      <c r="BF8" s="71"/>
      <c r="BG8" s="106"/>
      <c r="CA8" s="62"/>
      <c r="CB8" s="63"/>
      <c r="CC8" s="63"/>
      <c r="CD8" s="63"/>
      <c r="CE8" s="67"/>
      <c r="CF8" s="71"/>
      <c r="CG8" s="106"/>
      <c r="DA8" s="62"/>
      <c r="DB8" s="63"/>
      <c r="DC8" s="63"/>
      <c r="DD8" s="63"/>
      <c r="DE8" s="67"/>
      <c r="DF8" s="71"/>
      <c r="DG8" s="106"/>
    </row>
    <row r="9" spans="1:111">
      <c r="A9" s="62" t="s">
        <v>81</v>
      </c>
      <c r="B9" s="63" t="s">
        <v>24</v>
      </c>
      <c r="C9" s="63" t="s">
        <v>68</v>
      </c>
      <c r="D9" s="63" t="s">
        <v>26</v>
      </c>
      <c r="E9" s="67">
        <v>43195</v>
      </c>
      <c r="F9" s="71">
        <v>32</v>
      </c>
      <c r="G9" s="106">
        <v>97</v>
      </c>
      <c r="K9" s="63"/>
      <c r="BA9" s="62"/>
      <c r="BB9" s="63"/>
      <c r="BC9" s="63"/>
      <c r="BD9" s="63"/>
      <c r="BE9" s="67"/>
      <c r="BF9" s="71"/>
      <c r="BG9" s="106"/>
      <c r="CA9" s="62"/>
      <c r="CB9" s="63"/>
      <c r="CC9" s="63"/>
      <c r="CD9" s="63"/>
      <c r="CE9" s="67"/>
      <c r="CF9" s="71"/>
      <c r="CG9" s="106"/>
      <c r="DA9" s="62"/>
      <c r="DB9" s="63"/>
      <c r="DC9" s="63"/>
      <c r="DD9" s="63"/>
      <c r="DE9" s="67"/>
      <c r="DF9" s="71"/>
      <c r="DG9" s="106"/>
    </row>
    <row r="10" spans="1:111">
      <c r="A10" s="62" t="s">
        <v>82</v>
      </c>
      <c r="B10" s="63" t="s">
        <v>25</v>
      </c>
      <c r="C10" s="63" t="s">
        <v>15</v>
      </c>
      <c r="D10" s="63" t="s">
        <v>26</v>
      </c>
      <c r="E10" s="67">
        <v>43239</v>
      </c>
      <c r="F10" s="71">
        <v>30</v>
      </c>
      <c r="G10" s="106">
        <v>92</v>
      </c>
      <c r="K10" s="63"/>
      <c r="BA10" s="62"/>
      <c r="BB10" s="63"/>
      <c r="BC10" s="63"/>
      <c r="BD10" s="63"/>
      <c r="BE10" s="67"/>
      <c r="BF10" s="71"/>
      <c r="BG10" s="106"/>
      <c r="CA10" s="62"/>
      <c r="CB10" s="63"/>
      <c r="CC10" s="63"/>
      <c r="CD10" s="63"/>
      <c r="CE10" s="67"/>
      <c r="CF10" s="71"/>
      <c r="CG10" s="106"/>
      <c r="DA10" s="62"/>
      <c r="DB10" s="63"/>
      <c r="DC10" s="63"/>
      <c r="DD10" s="63"/>
      <c r="DE10" s="67"/>
      <c r="DF10" s="71"/>
      <c r="DG10" s="106"/>
    </row>
    <row r="11" spans="1:111">
      <c r="A11" s="62" t="s">
        <v>83</v>
      </c>
      <c r="B11" s="63" t="s">
        <v>21</v>
      </c>
      <c r="C11" s="63" t="s">
        <v>16</v>
      </c>
      <c r="D11" s="63" t="s">
        <v>27</v>
      </c>
      <c r="E11" s="67">
        <v>43173</v>
      </c>
      <c r="F11" s="71">
        <v>69</v>
      </c>
      <c r="G11" s="106">
        <v>118</v>
      </c>
      <c r="K11" s="63"/>
      <c r="BA11" s="62"/>
      <c r="BB11" s="63"/>
      <c r="BC11" s="63"/>
      <c r="BD11" s="63"/>
      <c r="BE11" s="67"/>
      <c r="BF11" s="71"/>
      <c r="BG11" s="106"/>
      <c r="CA11" s="62"/>
      <c r="CB11" s="63"/>
      <c r="CC11" s="63"/>
      <c r="CD11" s="63"/>
      <c r="CE11" s="67"/>
      <c r="CF11" s="71"/>
      <c r="CG11" s="106"/>
      <c r="DA11" s="62"/>
      <c r="DB11" s="63"/>
      <c r="DC11" s="63"/>
      <c r="DD11" s="63"/>
      <c r="DE11" s="67"/>
      <c r="DF11" s="71"/>
      <c r="DG11" s="106"/>
    </row>
    <row r="12" spans="1:111">
      <c r="A12" s="62" t="s">
        <v>84</v>
      </c>
      <c r="B12" s="63" t="s">
        <v>22</v>
      </c>
      <c r="C12" s="63" t="s">
        <v>17</v>
      </c>
      <c r="D12" s="63" t="s">
        <v>28</v>
      </c>
      <c r="E12" s="67">
        <v>43441</v>
      </c>
      <c r="F12" s="71">
        <v>78</v>
      </c>
      <c r="G12" s="106">
        <v>59</v>
      </c>
      <c r="BA12" s="62"/>
      <c r="BB12" s="63"/>
      <c r="BC12" s="63"/>
      <c r="BD12" s="63"/>
      <c r="BE12" s="67"/>
      <c r="BF12" s="71"/>
      <c r="BG12" s="106"/>
      <c r="CA12" s="62"/>
      <c r="CB12" s="63"/>
      <c r="CC12" s="63"/>
      <c r="CD12" s="63"/>
      <c r="CE12" s="67"/>
      <c r="CF12" s="71"/>
      <c r="CG12" s="106"/>
      <c r="DA12" s="62"/>
      <c r="DB12" s="63"/>
      <c r="DC12" s="63"/>
      <c r="DD12" s="63"/>
      <c r="DE12" s="67"/>
      <c r="DF12" s="71"/>
      <c r="DG12" s="106"/>
    </row>
    <row r="13" spans="1:111">
      <c r="A13" s="62" t="s">
        <v>85</v>
      </c>
      <c r="B13" s="63" t="s">
        <v>20</v>
      </c>
      <c r="C13" s="63" t="s">
        <v>18</v>
      </c>
      <c r="D13" s="63" t="s">
        <v>29</v>
      </c>
      <c r="E13" s="67">
        <v>43344</v>
      </c>
      <c r="F13" s="71">
        <v>66</v>
      </c>
      <c r="G13" s="106">
        <v>27</v>
      </c>
      <c r="BA13" s="62"/>
      <c r="BB13" s="63"/>
      <c r="BC13" s="63"/>
      <c r="BD13" s="63"/>
      <c r="BE13" s="67"/>
      <c r="BF13" s="71"/>
      <c r="BG13" s="106"/>
      <c r="CA13" s="62"/>
      <c r="CB13" s="63"/>
      <c r="CC13" s="63"/>
      <c r="CD13" s="63"/>
      <c r="CE13" s="67"/>
      <c r="CF13" s="71"/>
      <c r="CG13" s="106"/>
      <c r="DA13" s="62"/>
      <c r="DB13" s="63"/>
      <c r="DC13" s="63"/>
      <c r="DD13" s="63"/>
      <c r="DE13" s="67"/>
      <c r="DF13" s="71"/>
      <c r="DG13" s="106"/>
    </row>
    <row r="14" spans="1:111">
      <c r="A14" s="62" t="s">
        <v>86</v>
      </c>
      <c r="B14" s="63" t="s">
        <v>19</v>
      </c>
      <c r="C14" s="63" t="s">
        <v>14</v>
      </c>
      <c r="D14" s="63" t="s">
        <v>30</v>
      </c>
      <c r="E14" s="67">
        <v>43362</v>
      </c>
      <c r="F14" s="71">
        <v>77</v>
      </c>
      <c r="G14" s="106">
        <v>29</v>
      </c>
      <c r="BA14" s="62"/>
      <c r="BB14" s="63"/>
      <c r="BC14" s="63"/>
      <c r="BD14" s="63"/>
      <c r="BE14" s="67"/>
      <c r="BF14" s="71"/>
      <c r="BG14" s="106"/>
      <c r="CA14" s="62"/>
      <c r="CB14" s="63"/>
      <c r="CC14" s="63"/>
      <c r="CD14" s="63"/>
      <c r="CE14" s="67"/>
      <c r="CF14" s="71"/>
      <c r="CG14" s="106"/>
      <c r="DA14" s="62"/>
      <c r="DB14" s="63"/>
      <c r="DC14" s="63"/>
      <c r="DD14" s="63"/>
      <c r="DE14" s="67"/>
      <c r="DF14" s="71"/>
      <c r="DG14" s="106"/>
    </row>
    <row r="15" spans="1:111">
      <c r="A15" s="62" t="s">
        <v>87</v>
      </c>
      <c r="B15" s="63" t="s">
        <v>23</v>
      </c>
      <c r="C15" s="63" t="s">
        <v>15</v>
      </c>
      <c r="D15" s="63" t="s">
        <v>26</v>
      </c>
      <c r="E15" s="67">
        <v>43163</v>
      </c>
      <c r="F15" s="71">
        <v>45</v>
      </c>
      <c r="G15" s="106">
        <v>106</v>
      </c>
      <c r="BA15" s="62"/>
      <c r="BB15" s="63"/>
      <c r="BC15" s="63"/>
      <c r="BD15" s="63"/>
      <c r="BE15" s="67"/>
      <c r="BF15" s="71"/>
      <c r="BG15" s="106"/>
      <c r="CA15" s="62"/>
      <c r="CB15" s="63"/>
      <c r="CC15" s="63"/>
      <c r="CD15" s="63"/>
      <c r="CE15" s="67"/>
      <c r="CF15" s="71"/>
      <c r="CG15" s="106"/>
      <c r="DA15" s="62"/>
      <c r="DB15" s="63"/>
      <c r="DC15" s="63"/>
      <c r="DD15" s="63"/>
      <c r="DE15" s="67"/>
      <c r="DF15" s="71"/>
      <c r="DG15" s="106"/>
    </row>
    <row r="16" spans="1:111">
      <c r="A16" s="62" t="s">
        <v>88</v>
      </c>
      <c r="B16" s="63" t="s">
        <v>24</v>
      </c>
      <c r="C16" s="63" t="s">
        <v>16</v>
      </c>
      <c r="D16" s="63" t="s">
        <v>26</v>
      </c>
      <c r="E16" s="67">
        <v>43194</v>
      </c>
      <c r="F16" s="71">
        <v>53</v>
      </c>
      <c r="G16" s="106">
        <v>135</v>
      </c>
      <c r="BA16" s="62"/>
      <c r="BB16" s="63"/>
      <c r="BC16" s="63"/>
      <c r="BD16" s="63"/>
      <c r="BE16" s="67"/>
      <c r="BF16" s="71"/>
      <c r="BG16" s="106"/>
      <c r="CA16" s="62"/>
      <c r="CB16" s="63"/>
      <c r="CC16" s="63"/>
      <c r="CD16" s="63"/>
      <c r="CE16" s="67"/>
      <c r="CF16" s="71"/>
      <c r="CG16" s="106"/>
      <c r="DA16" s="62"/>
      <c r="DB16" s="63"/>
      <c r="DC16" s="63"/>
      <c r="DD16" s="63"/>
      <c r="DE16" s="67"/>
      <c r="DF16" s="71"/>
      <c r="DG16" s="106"/>
    </row>
    <row r="17" spans="1:111">
      <c r="A17" s="62" t="s">
        <v>89</v>
      </c>
      <c r="B17" s="63" t="s">
        <v>25</v>
      </c>
      <c r="C17" s="63" t="s">
        <v>17</v>
      </c>
      <c r="D17" s="63" t="s">
        <v>27</v>
      </c>
      <c r="E17" s="67">
        <v>43316</v>
      </c>
      <c r="F17" s="71">
        <v>99</v>
      </c>
      <c r="G17" s="106">
        <v>102</v>
      </c>
      <c r="BA17" s="62"/>
      <c r="BB17" s="63"/>
      <c r="BC17" s="63"/>
      <c r="BD17" s="63"/>
      <c r="BE17" s="67"/>
      <c r="BF17" s="71"/>
      <c r="BG17" s="106"/>
      <c r="CA17" s="62"/>
      <c r="CB17" s="63"/>
      <c r="CC17" s="63"/>
      <c r="CD17" s="63"/>
      <c r="CE17" s="67"/>
      <c r="CF17" s="71"/>
      <c r="CG17" s="106"/>
      <c r="DA17" s="62"/>
      <c r="DB17" s="63"/>
      <c r="DC17" s="63"/>
      <c r="DD17" s="63"/>
      <c r="DE17" s="67"/>
      <c r="DF17" s="71"/>
      <c r="DG17" s="106"/>
    </row>
    <row r="18" spans="1:111">
      <c r="A18" s="62" t="s">
        <v>90</v>
      </c>
      <c r="B18" s="63" t="s">
        <v>21</v>
      </c>
      <c r="C18" s="63" t="s">
        <v>18</v>
      </c>
      <c r="D18" s="63" t="s">
        <v>28</v>
      </c>
      <c r="E18" s="67">
        <v>43109</v>
      </c>
      <c r="F18" s="71">
        <v>50</v>
      </c>
      <c r="G18" s="106">
        <v>84</v>
      </c>
      <c r="BA18" s="62"/>
      <c r="BB18" s="63"/>
      <c r="BC18" s="63"/>
      <c r="BD18" s="63"/>
      <c r="BE18" s="67"/>
      <c r="BF18" s="71"/>
      <c r="BG18" s="106"/>
      <c r="CA18" s="62"/>
      <c r="CB18" s="63"/>
      <c r="CC18" s="63"/>
      <c r="CD18" s="63"/>
      <c r="CE18" s="67"/>
      <c r="CF18" s="71"/>
      <c r="CG18" s="106"/>
      <c r="DA18" s="62"/>
      <c r="DB18" s="63"/>
      <c r="DC18" s="63"/>
      <c r="DD18" s="63"/>
      <c r="DE18" s="67"/>
      <c r="DF18" s="71"/>
      <c r="DG18" s="106"/>
    </row>
    <row r="19" spans="1:111">
      <c r="A19" s="62" t="s">
        <v>91</v>
      </c>
      <c r="B19" s="63" t="s">
        <v>22</v>
      </c>
      <c r="C19" s="63" t="s">
        <v>14</v>
      </c>
      <c r="D19" s="63" t="s">
        <v>29</v>
      </c>
      <c r="E19" s="67">
        <v>43454</v>
      </c>
      <c r="F19" s="71">
        <v>52</v>
      </c>
      <c r="G19" s="106">
        <v>81</v>
      </c>
      <c r="BA19" s="62"/>
      <c r="BB19" s="63"/>
      <c r="BC19" s="63"/>
      <c r="BD19" s="63"/>
      <c r="BE19" s="67"/>
      <c r="BF19" s="71"/>
      <c r="BG19" s="106"/>
      <c r="CA19" s="62"/>
      <c r="CB19" s="63"/>
      <c r="CC19" s="63"/>
      <c r="CD19" s="63"/>
      <c r="CE19" s="67"/>
      <c r="CF19" s="71"/>
      <c r="CG19" s="106"/>
      <c r="DA19" s="62"/>
      <c r="DB19" s="63"/>
      <c r="DC19" s="63"/>
      <c r="DD19" s="63"/>
      <c r="DE19" s="67"/>
      <c r="DF19" s="71"/>
      <c r="DG19" s="106"/>
    </row>
    <row r="20" spans="1:111">
      <c r="A20" s="62" t="s">
        <v>92</v>
      </c>
      <c r="B20" s="63" t="s">
        <v>20</v>
      </c>
      <c r="C20" s="63" t="s">
        <v>15</v>
      </c>
      <c r="D20" s="63" t="s">
        <v>30</v>
      </c>
      <c r="E20" s="67">
        <v>43364</v>
      </c>
      <c r="F20" s="71">
        <v>26</v>
      </c>
      <c r="G20" s="106">
        <v>140</v>
      </c>
      <c r="BA20" s="62"/>
      <c r="BB20" s="63"/>
      <c r="BC20" s="63"/>
      <c r="BD20" s="63"/>
      <c r="BE20" s="67"/>
      <c r="BF20" s="71"/>
      <c r="BG20" s="106"/>
      <c r="CA20" s="62"/>
      <c r="CB20" s="63"/>
      <c r="CC20" s="63"/>
      <c r="CD20" s="63"/>
      <c r="CE20" s="67"/>
      <c r="CF20" s="71"/>
      <c r="CG20" s="106"/>
      <c r="DA20" s="62"/>
      <c r="DB20" s="63"/>
      <c r="DC20" s="63"/>
      <c r="DD20" s="63"/>
      <c r="DE20" s="67"/>
      <c r="DF20" s="71"/>
      <c r="DG20" s="106"/>
    </row>
    <row r="21" spans="1:111">
      <c r="A21" s="62" t="s">
        <v>93</v>
      </c>
      <c r="B21" s="63" t="s">
        <v>19</v>
      </c>
      <c r="C21" s="63" t="s">
        <v>16</v>
      </c>
      <c r="D21" s="63" t="s">
        <v>26</v>
      </c>
      <c r="E21" s="67">
        <v>43260</v>
      </c>
      <c r="F21" s="71">
        <v>42</v>
      </c>
      <c r="G21" s="106">
        <v>22</v>
      </c>
      <c r="BA21" s="62"/>
      <c r="BB21" s="63"/>
      <c r="BC21" s="63"/>
      <c r="BD21" s="63"/>
      <c r="BE21" s="67"/>
      <c r="BF21" s="71"/>
      <c r="BG21" s="106"/>
      <c r="CA21" s="62"/>
      <c r="CB21" s="63"/>
      <c r="CC21" s="63"/>
      <c r="CD21" s="63"/>
      <c r="CE21" s="67"/>
      <c r="CF21" s="71"/>
      <c r="CG21" s="106"/>
      <c r="DA21" s="62"/>
      <c r="DB21" s="63"/>
      <c r="DC21" s="63"/>
      <c r="DD21" s="63"/>
      <c r="DE21" s="67"/>
      <c r="DF21" s="71"/>
      <c r="DG21" s="106"/>
    </row>
    <row r="22" spans="1:111">
      <c r="A22" s="62" t="s">
        <v>94</v>
      </c>
      <c r="B22" s="63" t="s">
        <v>23</v>
      </c>
      <c r="C22" s="63" t="s">
        <v>17</v>
      </c>
      <c r="D22" s="63" t="s">
        <v>26</v>
      </c>
      <c r="E22" s="67">
        <v>43439</v>
      </c>
      <c r="F22" s="71">
        <v>23</v>
      </c>
      <c r="G22" s="106">
        <v>128</v>
      </c>
      <c r="BA22" s="62"/>
      <c r="BB22" s="63"/>
      <c r="BC22" s="63"/>
      <c r="BD22" s="63"/>
      <c r="BE22" s="67"/>
      <c r="BF22" s="71"/>
      <c r="BG22" s="106"/>
      <c r="CA22" s="62"/>
      <c r="CB22" s="63"/>
      <c r="CC22" s="63"/>
      <c r="CD22" s="63"/>
      <c r="CE22" s="67"/>
      <c r="CF22" s="71"/>
      <c r="CG22" s="106"/>
      <c r="DA22" s="62"/>
      <c r="DB22" s="63"/>
      <c r="DC22" s="63"/>
      <c r="DD22" s="63"/>
      <c r="DE22" s="67"/>
      <c r="DF22" s="71"/>
      <c r="DG22" s="106"/>
    </row>
    <row r="23" spans="1:111">
      <c r="A23" s="62" t="s">
        <v>95</v>
      </c>
      <c r="B23" s="63" t="s">
        <v>24</v>
      </c>
      <c r="C23" s="63" t="s">
        <v>18</v>
      </c>
      <c r="D23" s="63" t="s">
        <v>27</v>
      </c>
      <c r="E23" s="67">
        <v>43358</v>
      </c>
      <c r="F23" s="71">
        <v>71</v>
      </c>
      <c r="G23" s="106">
        <v>92</v>
      </c>
      <c r="BA23" s="62"/>
      <c r="BB23" s="63"/>
      <c r="BC23" s="63"/>
      <c r="BD23" s="63"/>
      <c r="BE23" s="67"/>
      <c r="BF23" s="71"/>
      <c r="BG23" s="106"/>
      <c r="CA23" s="62"/>
      <c r="CB23" s="63"/>
      <c r="CC23" s="63"/>
      <c r="CD23" s="63"/>
      <c r="CE23" s="67"/>
      <c r="CF23" s="71"/>
      <c r="CG23" s="106"/>
      <c r="DA23" s="62"/>
      <c r="DB23" s="63"/>
      <c r="DC23" s="63"/>
      <c r="DD23" s="63"/>
      <c r="DE23" s="67"/>
      <c r="DF23" s="71"/>
      <c r="DG23" s="106"/>
    </row>
    <row r="24" spans="1:111">
      <c r="A24" s="62" t="s">
        <v>96</v>
      </c>
      <c r="B24" s="63" t="s">
        <v>25</v>
      </c>
      <c r="C24" s="63" t="s">
        <v>14</v>
      </c>
      <c r="D24" s="63" t="s">
        <v>28</v>
      </c>
      <c r="E24" s="67">
        <v>43232</v>
      </c>
      <c r="F24" s="71">
        <v>72</v>
      </c>
      <c r="G24" s="106">
        <v>49</v>
      </c>
      <c r="BA24" s="62"/>
      <c r="BB24" s="63"/>
      <c r="BC24" s="63"/>
      <c r="BD24" s="63"/>
      <c r="BE24" s="67"/>
      <c r="BF24" s="71"/>
      <c r="BG24" s="106"/>
      <c r="CA24" s="62"/>
      <c r="CB24" s="63"/>
      <c r="CC24" s="63"/>
      <c r="CD24" s="63"/>
      <c r="CE24" s="67"/>
      <c r="CF24" s="71"/>
      <c r="CG24" s="106"/>
      <c r="DA24" s="62"/>
      <c r="DB24" s="63"/>
      <c r="DC24" s="63"/>
      <c r="DD24" s="63"/>
      <c r="DE24" s="67"/>
      <c r="DF24" s="71"/>
      <c r="DG24" s="106"/>
    </row>
    <row r="25" spans="1:111">
      <c r="A25" s="62" t="s">
        <v>97</v>
      </c>
      <c r="B25" s="63" t="s">
        <v>21</v>
      </c>
      <c r="C25" s="63" t="s">
        <v>15</v>
      </c>
      <c r="D25" s="63" t="s">
        <v>29</v>
      </c>
      <c r="E25" s="67">
        <v>43422</v>
      </c>
      <c r="F25" s="71">
        <v>22</v>
      </c>
      <c r="G25" s="106">
        <v>118</v>
      </c>
      <c r="BA25" s="62"/>
      <c r="BB25" s="63"/>
      <c r="BC25" s="63"/>
      <c r="BD25" s="63"/>
      <c r="BE25" s="67"/>
      <c r="BF25" s="71"/>
      <c r="BG25" s="106"/>
      <c r="CA25" s="62"/>
      <c r="CB25" s="63"/>
      <c r="CC25" s="63"/>
      <c r="CD25" s="63"/>
      <c r="CE25" s="67"/>
      <c r="CF25" s="71"/>
      <c r="CG25" s="106"/>
      <c r="DA25" s="62"/>
      <c r="DB25" s="63"/>
      <c r="DC25" s="63"/>
      <c r="DD25" s="63"/>
      <c r="DE25" s="67"/>
      <c r="DF25" s="71"/>
      <c r="DG25" s="106"/>
    </row>
    <row r="26" spans="1:111">
      <c r="A26" s="62" t="s">
        <v>98</v>
      </c>
      <c r="B26" s="63" t="s">
        <v>22</v>
      </c>
      <c r="C26" s="63" t="s">
        <v>16</v>
      </c>
      <c r="D26" s="63" t="s">
        <v>30</v>
      </c>
      <c r="E26" s="67">
        <v>43305</v>
      </c>
      <c r="F26" s="71">
        <v>84</v>
      </c>
      <c r="G26" s="106">
        <v>66</v>
      </c>
      <c r="BA26" s="62"/>
      <c r="BB26" s="63"/>
      <c r="BC26" s="63"/>
      <c r="BD26" s="63"/>
      <c r="BE26" s="67"/>
      <c r="BF26" s="71"/>
      <c r="BG26" s="106"/>
      <c r="CA26" s="62"/>
      <c r="CB26" s="63"/>
      <c r="CC26" s="63"/>
      <c r="CD26" s="63"/>
      <c r="CE26" s="67"/>
      <c r="CF26" s="71"/>
      <c r="CG26" s="106"/>
      <c r="DA26" s="62"/>
      <c r="DB26" s="63"/>
      <c r="DC26" s="63"/>
      <c r="DD26" s="63"/>
      <c r="DE26" s="67"/>
      <c r="DF26" s="71"/>
      <c r="DG26" s="106"/>
    </row>
    <row r="27" spans="1:111">
      <c r="A27" s="62" t="s">
        <v>99</v>
      </c>
      <c r="B27" s="63" t="s">
        <v>20</v>
      </c>
      <c r="C27" s="63" t="s">
        <v>17</v>
      </c>
      <c r="D27" s="63" t="s">
        <v>26</v>
      </c>
      <c r="E27" s="67">
        <v>43437</v>
      </c>
      <c r="F27" s="71">
        <v>15</v>
      </c>
      <c r="G27" s="106">
        <v>80</v>
      </c>
      <c r="BA27" s="62"/>
      <c r="BB27" s="63"/>
      <c r="BC27" s="63"/>
      <c r="BD27" s="63"/>
      <c r="BE27" s="67"/>
      <c r="BF27" s="71"/>
      <c r="BG27" s="106"/>
      <c r="CA27" s="62"/>
      <c r="CB27" s="63"/>
      <c r="CC27" s="63"/>
      <c r="CD27" s="63"/>
      <c r="CE27" s="67"/>
      <c r="CF27" s="71"/>
      <c r="CG27" s="106"/>
      <c r="DA27" s="62"/>
      <c r="DB27" s="63"/>
      <c r="DC27" s="63"/>
      <c r="DD27" s="63"/>
      <c r="DE27" s="67"/>
      <c r="DF27" s="71"/>
      <c r="DG27" s="106"/>
    </row>
    <row r="28" spans="1:111">
      <c r="A28" s="62" t="s">
        <v>100</v>
      </c>
      <c r="B28" s="63" t="s">
        <v>19</v>
      </c>
      <c r="C28" s="63" t="s">
        <v>18</v>
      </c>
      <c r="D28" s="63" t="s">
        <v>27</v>
      </c>
      <c r="E28" s="67">
        <v>43425</v>
      </c>
      <c r="F28" s="71">
        <v>72</v>
      </c>
      <c r="G28" s="106">
        <v>96</v>
      </c>
      <c r="BA28" s="62"/>
      <c r="BB28" s="63"/>
      <c r="BC28" s="63"/>
      <c r="BD28" s="63"/>
      <c r="BE28" s="67"/>
      <c r="BF28" s="71"/>
      <c r="BG28" s="106"/>
      <c r="CA28" s="62"/>
      <c r="CB28" s="63"/>
      <c r="CC28" s="63"/>
      <c r="CD28" s="63"/>
      <c r="CE28" s="67"/>
      <c r="CF28" s="71"/>
      <c r="CG28" s="106"/>
      <c r="DA28" s="62"/>
      <c r="DB28" s="63"/>
      <c r="DC28" s="63"/>
      <c r="DD28" s="63"/>
      <c r="DE28" s="67"/>
      <c r="DF28" s="71"/>
      <c r="DG28" s="106"/>
    </row>
    <row r="29" spans="1:111">
      <c r="A29" s="62" t="s">
        <v>101</v>
      </c>
      <c r="B29" s="63" t="s">
        <v>23</v>
      </c>
      <c r="C29" s="63" t="s">
        <v>14</v>
      </c>
      <c r="D29" s="63" t="s">
        <v>28</v>
      </c>
      <c r="E29" s="67">
        <v>43205</v>
      </c>
      <c r="F29" s="71">
        <v>75</v>
      </c>
      <c r="G29" s="106">
        <v>94</v>
      </c>
      <c r="BA29" s="62"/>
      <c r="BB29" s="63"/>
      <c r="BC29" s="63"/>
      <c r="BD29" s="63"/>
      <c r="BE29" s="67"/>
      <c r="BF29" s="71"/>
      <c r="BG29" s="106"/>
      <c r="CA29" s="62"/>
      <c r="CB29" s="63"/>
      <c r="CC29" s="63"/>
      <c r="CD29" s="63"/>
      <c r="CE29" s="67"/>
      <c r="CF29" s="71"/>
      <c r="CG29" s="106"/>
      <c r="DA29" s="62"/>
      <c r="DB29" s="63"/>
      <c r="DC29" s="63"/>
      <c r="DD29" s="63"/>
      <c r="DE29" s="67"/>
      <c r="DF29" s="71"/>
      <c r="DG29" s="106"/>
    </row>
    <row r="30" spans="1:111">
      <c r="A30" s="62" t="s">
        <v>102</v>
      </c>
      <c r="B30" s="63" t="s">
        <v>47</v>
      </c>
      <c r="C30" s="63" t="s">
        <v>15</v>
      </c>
      <c r="D30" s="63" t="s">
        <v>29</v>
      </c>
      <c r="E30" s="67">
        <v>43252</v>
      </c>
      <c r="F30" s="71">
        <v>89</v>
      </c>
      <c r="G30" s="106">
        <v>60</v>
      </c>
      <c r="BA30" s="62"/>
      <c r="BB30" s="63"/>
      <c r="BC30" s="63"/>
      <c r="BD30" s="63"/>
      <c r="BE30" s="67"/>
      <c r="BF30" s="71"/>
      <c r="BG30" s="106"/>
      <c r="CA30" s="62"/>
      <c r="CB30" s="63"/>
      <c r="CC30" s="63"/>
      <c r="CD30" s="63"/>
      <c r="CE30" s="67"/>
      <c r="CF30" s="71"/>
      <c r="CG30" s="106"/>
      <c r="DA30" s="62"/>
      <c r="DB30" s="63"/>
      <c r="DC30" s="63"/>
      <c r="DD30" s="63"/>
      <c r="DE30" s="67"/>
      <c r="DF30" s="71"/>
      <c r="DG30" s="106"/>
    </row>
    <row r="31" spans="1:111">
      <c r="A31" s="62" t="s">
        <v>103</v>
      </c>
      <c r="B31" s="63" t="s">
        <v>46</v>
      </c>
      <c r="C31" s="63" t="s">
        <v>16</v>
      </c>
      <c r="D31" s="63" t="s">
        <v>30</v>
      </c>
      <c r="E31" s="67">
        <v>43118</v>
      </c>
      <c r="F31" s="71">
        <v>12</v>
      </c>
      <c r="G31" s="106">
        <v>16</v>
      </c>
      <c r="BA31" s="62"/>
      <c r="BB31" s="63"/>
      <c r="BC31" s="63"/>
      <c r="BD31" s="63"/>
      <c r="BE31" s="67"/>
      <c r="BF31" s="71"/>
      <c r="BG31" s="106"/>
      <c r="CA31" s="62"/>
      <c r="CB31" s="63"/>
      <c r="CC31" s="63"/>
      <c r="CD31" s="63"/>
      <c r="CE31" s="67"/>
      <c r="CF31" s="71"/>
      <c r="CG31" s="106"/>
      <c r="DA31" s="62"/>
      <c r="DB31" s="63"/>
      <c r="DC31" s="63"/>
      <c r="DD31" s="63"/>
      <c r="DE31" s="67"/>
      <c r="DF31" s="71"/>
      <c r="DG31" s="106"/>
    </row>
    <row r="32" spans="1:111">
      <c r="A32" s="62" t="s">
        <v>104</v>
      </c>
      <c r="B32" s="63" t="s">
        <v>48</v>
      </c>
      <c r="C32" s="63" t="s">
        <v>17</v>
      </c>
      <c r="D32" s="63" t="s">
        <v>26</v>
      </c>
      <c r="E32" s="67">
        <v>43377</v>
      </c>
      <c r="F32" s="71">
        <v>38</v>
      </c>
      <c r="G32" s="106">
        <v>81</v>
      </c>
      <c r="BA32" s="62"/>
      <c r="BB32" s="63"/>
      <c r="BC32" s="63"/>
      <c r="BD32" s="63"/>
      <c r="BE32" s="67"/>
      <c r="BF32" s="71"/>
      <c r="BG32" s="106"/>
      <c r="CA32" s="62"/>
      <c r="CB32" s="63"/>
      <c r="CC32" s="63"/>
      <c r="CD32" s="63"/>
      <c r="CE32" s="67"/>
      <c r="CF32" s="71"/>
      <c r="CG32" s="106"/>
      <c r="DA32" s="62"/>
      <c r="DB32" s="63"/>
      <c r="DC32" s="63"/>
      <c r="DD32" s="63"/>
      <c r="DE32" s="67"/>
      <c r="DF32" s="71"/>
      <c r="DG32" s="106"/>
    </row>
    <row r="33" spans="1:7">
      <c r="A33" s="62"/>
      <c r="B33" s="63"/>
      <c r="C33" s="63"/>
      <c r="D33" s="63"/>
      <c r="E33" s="67"/>
      <c r="F33" s="71"/>
      <c r="G33" s="106"/>
    </row>
    <row r="34" spans="1:7">
      <c r="A34" s="62"/>
      <c r="B34" s="63"/>
      <c r="C34" s="63"/>
      <c r="D34" s="63"/>
      <c r="E34" s="67"/>
      <c r="F34" s="71"/>
      <c r="G34" s="106"/>
    </row>
    <row r="35" spans="1:7">
      <c r="A35" s="62"/>
      <c r="B35" s="63"/>
      <c r="C35" s="63"/>
      <c r="D35" s="63"/>
      <c r="E35" s="67"/>
      <c r="F35" s="71"/>
      <c r="G35" s="106"/>
    </row>
    <row r="36" spans="1:7">
      <c r="A36" s="62"/>
      <c r="B36" s="63"/>
      <c r="C36" s="63"/>
      <c r="D36" s="63"/>
      <c r="E36" s="67"/>
      <c r="F36" s="71"/>
      <c r="G36" s="106"/>
    </row>
    <row r="37" spans="1:7">
      <c r="A37" s="62"/>
      <c r="B37" s="63"/>
      <c r="C37" s="63"/>
      <c r="D37" s="63"/>
      <c r="E37" s="67"/>
      <c r="F37" s="71"/>
      <c r="G37" s="106"/>
    </row>
    <row r="38" spans="1:7">
      <c r="A38" s="62"/>
      <c r="B38" s="63"/>
      <c r="C38" s="63"/>
      <c r="D38" s="63"/>
      <c r="E38" s="67"/>
      <c r="F38" s="71"/>
      <c r="G38" s="106"/>
    </row>
    <row r="39" spans="1:7">
      <c r="A39" s="62"/>
      <c r="B39" s="63"/>
      <c r="C39" s="63"/>
      <c r="D39" s="63"/>
      <c r="E39" s="67"/>
      <c r="F39" s="71"/>
      <c r="G39" s="106"/>
    </row>
    <row r="40" spans="1:7">
      <c r="A40" s="62"/>
      <c r="B40" s="63"/>
      <c r="C40" s="63"/>
      <c r="D40" s="63"/>
      <c r="E40" s="67"/>
      <c r="F40" s="71"/>
      <c r="G40" s="106"/>
    </row>
    <row r="41" spans="1:7">
      <c r="A41" s="62"/>
      <c r="B41" s="63"/>
      <c r="C41" s="63"/>
      <c r="D41" s="63"/>
      <c r="E41" s="67"/>
      <c r="F41" s="71"/>
      <c r="G41" s="106"/>
    </row>
    <row r="42" spans="1:7">
      <c r="A42" s="62"/>
      <c r="B42" s="63"/>
      <c r="C42" s="63"/>
      <c r="D42" s="63"/>
      <c r="E42" s="67"/>
      <c r="F42" s="71"/>
      <c r="G42" s="106"/>
    </row>
    <row r="43" spans="1:7">
      <c r="A43" s="62"/>
      <c r="B43" s="63"/>
      <c r="C43" s="63"/>
      <c r="D43" s="63"/>
      <c r="E43" s="67"/>
      <c r="F43" s="71"/>
      <c r="G43" s="106"/>
    </row>
    <row r="44" spans="1:7">
      <c r="A44" s="62"/>
      <c r="B44" s="63"/>
      <c r="C44" s="63"/>
      <c r="D44" s="63"/>
      <c r="E44" s="67"/>
      <c r="F44" s="71"/>
      <c r="G44" s="106"/>
    </row>
    <row r="45" spans="1:7">
      <c r="A45" s="62"/>
      <c r="B45" s="63"/>
      <c r="C45" s="63"/>
      <c r="D45" s="63"/>
      <c r="E45" s="67"/>
      <c r="F45" s="71"/>
      <c r="G45" s="106"/>
    </row>
  </sheetData>
  <mergeCells count="6">
    <mergeCell ref="CA1:CG2"/>
    <mergeCell ref="DA1:DG2"/>
    <mergeCell ref="A1:G1"/>
    <mergeCell ref="K1:K2"/>
    <mergeCell ref="AA1:AJ1"/>
    <mergeCell ref="BA1:BG2"/>
  </mergeCells>
  <conditionalFormatting sqref="A4:G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Items</vt:lpstr>
      <vt:lpstr>ItemDbs</vt:lpstr>
      <vt:lpstr>AmountSearch</vt:lpstr>
      <vt:lpstr>ClearRange</vt:lpstr>
      <vt:lpstr>DateSearch</vt:lpstr>
      <vt:lpstr>ItemDbs!Extract</vt:lpstr>
      <vt:lpstr>ListSearch</vt:lpstr>
      <vt:lpstr>NumberSearch</vt:lpstr>
      <vt:lpstr>TextSearch</vt:lpstr>
    </vt:vector>
  </TitlesOfParts>
  <Manager>Raustin2005@gmail.com</Manager>
  <Company>Excel For Freelancers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lenovo</cp:lastModifiedBy>
  <dcterms:created xsi:type="dcterms:W3CDTF">2017-07-21T15:42:37Z</dcterms:created>
  <dcterms:modified xsi:type="dcterms:W3CDTF">2020-07-06T11:53:40Z</dcterms:modified>
  <cp:category>Excel Training</cp:category>
  <cp:contentStatus>Final</cp:contentStatus>
</cp:coreProperties>
</file>