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5" yWindow="-285" windowWidth="11040" windowHeight="11490"/>
  </bookViews>
  <sheets>
    <sheet name="Live Chat" sheetId="1" r:id="rId1"/>
    <sheet name="Chat Log" sheetId="2" r:id="rId2"/>
    <sheet name="User Log" sheetId="3" r:id="rId3"/>
  </sheets>
  <definedNames>
    <definedName name="_xlnm._FilterDatabase" localSheetId="1" hidden="1">'Chat Log'!$A$2:$H$19</definedName>
    <definedName name="_xlnm.Criteria" localSheetId="1">'Chat Log'!$J$2:$J$3</definedName>
    <definedName name="_xlnm.Extract" localSheetId="1">'Chat Log'!$M$2:$P$2</definedName>
    <definedName name="User_ID">OFFSET('User Log'!$A$2,1,,COUNTA('User Log'!$A$2:$A$9999)-1,1)</definedName>
    <definedName name="User_Name">OFFSET('User Log'!$B$2,1,,COUNTA('User Log'!$A$2:$A$9999)-1,1)</definedName>
    <definedName name="UTCDiff">'Live Chat'!$B$3</definedName>
  </definedNames>
  <calcPr calcId="145621"/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T4" i="2"/>
  <c r="V4" i="2"/>
  <c r="W4" i="2"/>
  <c r="X4" i="2"/>
  <c r="U4" i="2" s="1"/>
  <c r="T3" i="2"/>
  <c r="V3" i="2"/>
  <c r="W3" i="2"/>
  <c r="X3" i="2"/>
  <c r="U3" i="2" s="1"/>
  <c r="T5" i="2"/>
  <c r="V5" i="2"/>
  <c r="W5" i="2"/>
  <c r="X5" i="2"/>
  <c r="U5" i="2" s="1"/>
  <c r="B10" i="2"/>
  <c r="G9" i="2"/>
  <c r="G8" i="2"/>
  <c r="G7" i="2"/>
  <c r="G6" i="2"/>
  <c r="G5" i="2"/>
  <c r="G4" i="2"/>
  <c r="G3" i="2"/>
  <c r="T6" i="2"/>
  <c r="V6" i="2"/>
  <c r="W6" i="2"/>
  <c r="X6" i="2"/>
  <c r="U6" i="2" s="1"/>
  <c r="N1" i="2" l="1"/>
  <c r="R3" i="2" l="1"/>
  <c r="X1" i="2" l="1"/>
  <c r="V1" i="2"/>
  <c r="T1" i="2"/>
  <c r="W1" i="2"/>
  <c r="J3" i="2"/>
  <c r="U1" i="2" l="1"/>
</calcChain>
</file>

<file path=xl/sharedStrings.xml><?xml version="1.0" encoding="utf-8"?>
<sst xmlns="http://schemas.openxmlformats.org/spreadsheetml/2006/main" count="203" uniqueCount="53">
  <si>
    <t>Name</t>
  </si>
  <si>
    <t>Message</t>
  </si>
  <si>
    <t>Recent Chats</t>
  </si>
  <si>
    <t>Status</t>
  </si>
  <si>
    <t>Chat Summary</t>
  </si>
  <si>
    <t>LIVE CHAT MANAGER</t>
  </si>
  <si>
    <t>Sent From</t>
  </si>
  <si>
    <t>Sent To</t>
  </si>
  <si>
    <t>User ID</t>
  </si>
  <si>
    <t>Admin Chat Name</t>
  </si>
  <si>
    <t>Fred</t>
  </si>
  <si>
    <t>User Log</t>
  </si>
  <si>
    <t>User Name</t>
  </si>
  <si>
    <t>Last Chat Date</t>
  </si>
  <si>
    <t>Sally</t>
  </si>
  <si>
    <t>Lisa</t>
  </si>
  <si>
    <t>Frank</t>
  </si>
  <si>
    <t>John</t>
  </si>
  <si>
    <t>Daniel</t>
  </si>
  <si>
    <t>Debbie</t>
  </si>
  <si>
    <t>Chat With User Name:</t>
  </si>
  <si>
    <t>Sel. User ID</t>
  </si>
  <si>
    <t>CRITERIA</t>
  </si>
  <si>
    <t>CHAT LOG</t>
  </si>
  <si>
    <t>Last Message On/At</t>
  </si>
  <si>
    <t>Unread</t>
  </si>
  <si>
    <t>UTC Dif.</t>
  </si>
  <si>
    <t xml:space="preserve">  </t>
  </si>
  <si>
    <t>CHAT RESULTS</t>
  </si>
  <si>
    <t>Local Time</t>
  </si>
  <si>
    <t>Row</t>
  </si>
  <si>
    <t>RECENT CHATS</t>
  </si>
  <si>
    <t>Sel. Row</t>
  </si>
  <si>
    <t>Read</t>
  </si>
  <si>
    <t>Last Check</t>
  </si>
  <si>
    <t>UTC Time</t>
  </si>
  <si>
    <t>David</t>
  </si>
  <si>
    <t>Hello I am having a problem with my application. Can you help?</t>
  </si>
  <si>
    <t>Hi Lisa, this is Fred. Thank you for your question. Can you explain your problem?</t>
  </si>
  <si>
    <t>Thank you Fred. Each time I hope the application there is a long wait.</t>
  </si>
  <si>
    <t>Oh ok I understand. Try updating your settings in your Admin panel and see if this helps.</t>
  </si>
  <si>
    <t>Yes that worked. Thanks so much</t>
  </si>
  <si>
    <t>Great Lisa I am happy to help</t>
  </si>
  <si>
    <t>Thanks so much for your help</t>
  </si>
  <si>
    <t>Betty</t>
  </si>
  <si>
    <t>Hello Betty</t>
  </si>
  <si>
    <t xml:space="preserve">Betty </t>
  </si>
  <si>
    <t>Thanks again</t>
  </si>
  <si>
    <t>Hi Fred thanks</t>
  </si>
  <si>
    <t>Your Welcome David</t>
  </si>
  <si>
    <t>You did great</t>
  </si>
  <si>
    <t>My Pleasure</t>
  </si>
  <si>
    <t xml:space="preserve">David 9:17AM: Hi Fred thanks_x000D_
_x000D_
Fred 9:17AM: Your Welcome David_x000D_
_x000D_
David 9:27AM: You did great_x000D_
_x000D_
Fred 9:27AM: My Pleasure_x000D_
_x000D_
David 9:30AM: Thanks again_x000D_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</si>
</sst>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30"/>
      <color theme="3" tint="-0.249977111117893"/>
      <name val="Arial Rounded MT Bold"/>
      <family val="2"/>
    </font>
    <font>
      <sz val="11"/>
      <color theme="3" tint="0.39997558519241921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</fills>
  <borders count="27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hair">
        <color rgb="FF0070C0"/>
      </bottom>
      <diagonal/>
    </border>
    <border>
      <left style="double">
        <color rgb="FF0070C0"/>
      </left>
      <right style="double">
        <color rgb="FF0070C0"/>
      </right>
      <top style="hair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 style="thin">
        <color rgb="FF0070C0"/>
      </bottom>
      <diagonal/>
    </border>
    <border>
      <left style="double">
        <color rgb="FF0070C0"/>
      </left>
      <right/>
      <top style="thin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/>
      <right style="double">
        <color rgb="FF0070C0"/>
      </right>
      <top/>
      <bottom/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thin">
        <color rgb="FF0070C0"/>
      </bottom>
      <diagonal/>
    </border>
    <border>
      <left style="hair">
        <color rgb="FF0070C0"/>
      </left>
      <right style="double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double">
        <color rgb="FF0070C0"/>
      </right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rgb="FF0070C0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/>
      <top/>
      <bottom/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0070C0"/>
      </left>
      <right/>
      <top style="double">
        <color rgb="FF0070C0"/>
      </top>
      <bottom style="double">
        <color rgb="FF0070C0"/>
      </bottom>
      <diagonal/>
    </border>
    <border>
      <left/>
      <right/>
      <top style="double">
        <color rgb="FF0070C0"/>
      </top>
      <bottom style="double">
        <color rgb="FF0070C0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5" borderId="3" xfId="0" applyFill="1" applyBorder="1"/>
    <xf numFmtId="0" fontId="1" fillId="7" borderId="15" xfId="0" applyFon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0" borderId="6" xfId="0" applyBorder="1"/>
    <xf numFmtId="0" fontId="0" fillId="0" borderId="16" xfId="0" applyBorder="1"/>
    <xf numFmtId="0" fontId="0" fillId="0" borderId="17" xfId="0" applyBorder="1"/>
    <xf numFmtId="0" fontId="0" fillId="8" borderId="18" xfId="0" applyFill="1" applyBorder="1"/>
    <xf numFmtId="0" fontId="0" fillId="8" borderId="18" xfId="0" applyFill="1" applyBorder="1" applyAlignment="1">
      <alignment horizontal="left"/>
    </xf>
    <xf numFmtId="0" fontId="0" fillId="3" borderId="19" xfId="0" applyFill="1" applyBorder="1" applyAlignment="1"/>
    <xf numFmtId="0" fontId="0" fillId="3" borderId="19" xfId="0" applyFill="1" applyBorder="1" applyAlignment="1">
      <alignment horizontal="left"/>
    </xf>
    <xf numFmtId="0" fontId="0" fillId="3" borderId="0" xfId="0" applyFill="1" applyBorder="1" applyAlignment="1"/>
    <xf numFmtId="0" fontId="0" fillId="10" borderId="20" xfId="0" applyFill="1" applyBorder="1" applyAlignment="1">
      <alignment horizontal="center"/>
    </xf>
    <xf numFmtId="0" fontId="0" fillId="0" borderId="0" xfId="0" applyAlignment="1"/>
    <xf numFmtId="0" fontId="0" fillId="9" borderId="22" xfId="0" applyFill="1" applyBorder="1" applyAlignment="1"/>
    <xf numFmtId="0" fontId="0" fillId="8" borderId="23" xfId="0" applyFill="1" applyBorder="1" applyAlignment="1"/>
    <xf numFmtId="0" fontId="0" fillId="0" borderId="21" xfId="0" applyFill="1" applyBorder="1" applyAlignment="1"/>
    <xf numFmtId="0" fontId="0" fillId="2" borderId="18" xfId="0" applyFill="1" applyBorder="1" applyAlignment="1">
      <alignment horizontal="center"/>
    </xf>
    <xf numFmtId="22" fontId="0" fillId="8" borderId="18" xfId="0" applyNumberFormat="1" applyFill="1" applyBorder="1"/>
    <xf numFmtId="0" fontId="0" fillId="10" borderId="18" xfId="0" applyFill="1" applyBorder="1" applyAlignment="1">
      <alignment horizontal="center"/>
    </xf>
    <xf numFmtId="0" fontId="0" fillId="9" borderId="24" xfId="0" applyFill="1" applyBorder="1" applyAlignment="1"/>
    <xf numFmtId="0" fontId="0" fillId="8" borderId="18" xfId="0" applyFill="1" applyBorder="1" applyAlignment="1">
      <alignment horizontal="center"/>
    </xf>
    <xf numFmtId="164" fontId="0" fillId="3" borderId="0" xfId="0" applyNumberFormat="1" applyFill="1"/>
    <xf numFmtId="0" fontId="4" fillId="3" borderId="0" xfId="0" applyFont="1" applyFill="1" applyAlignment="1">
      <alignment horizontal="center"/>
    </xf>
    <xf numFmtId="0" fontId="4" fillId="3" borderId="0" xfId="0" applyFont="1" applyFill="1" applyBorder="1"/>
    <xf numFmtId="0" fontId="4" fillId="3" borderId="0" xfId="0" applyFont="1" applyFill="1"/>
    <xf numFmtId="0" fontId="0" fillId="3" borderId="25" xfId="0" applyFill="1" applyBorder="1"/>
    <xf numFmtId="0" fontId="0" fillId="3" borderId="26" xfId="0" applyFill="1" applyBorder="1"/>
    <xf numFmtId="164" fontId="0" fillId="3" borderId="26" xfId="0" applyNumberFormat="1" applyFill="1" applyBorder="1"/>
    <xf numFmtId="0" fontId="0" fillId="3" borderId="4" xfId="0" applyFill="1" applyBorder="1" applyAlignment="1">
      <alignment wrapText="1"/>
    </xf>
    <xf numFmtId="0" fontId="0" fillId="3" borderId="4" xfId="0" applyFill="1" applyBorder="1"/>
    <xf numFmtId="0" fontId="0" fillId="9" borderId="18" xfId="0" applyFill="1" applyBorder="1" applyAlignment="1">
      <alignment horizontal="center"/>
    </xf>
    <xf numFmtId="164" fontId="0" fillId="0" borderId="0" xfId="0" applyNumberFormat="1" applyAlignment="1"/>
    <xf numFmtId="164" fontId="0" fillId="0" borderId="0" xfId="0" applyNumberFormat="1"/>
    <xf numFmtId="164" fontId="0" fillId="0" borderId="16" xfId="0" applyNumberFormat="1" applyBorder="1" applyAlignment="1">
      <alignment horizontal="center"/>
    </xf>
    <xf numFmtId="164" fontId="0" fillId="3" borderId="26" xfId="0" applyNumberFormat="1" applyFill="1" applyBorder="1" applyAlignment="1">
      <alignment horizontal="center"/>
    </xf>
    <xf numFmtId="20" fontId="0" fillId="8" borderId="18" xfId="0" applyNumberFormat="1" applyFill="1" applyBorder="1" applyAlignment="1">
      <alignment horizontal="left"/>
    </xf>
    <xf numFmtId="0" fontId="0" fillId="0" borderId="0" xfId="0" applyNumberFormat="1" applyAlignment="1"/>
    <xf numFmtId="0" fontId="0" fillId="0" borderId="0" xfId="0" applyNumberFormat="1"/>
    <xf numFmtId="0" fontId="2" fillId="6" borderId="1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5" borderId="11" xfId="0" applyFill="1" applyBorder="1" applyAlignment="1">
      <alignment horizontal="left" vertical="top"/>
    </xf>
    <xf numFmtId="0" fontId="0" fillId="5" borderId="8" xfId="0" applyFill="1" applyBorder="1" applyAlignment="1">
      <alignment horizontal="left" vertical="top"/>
    </xf>
    <xf numFmtId="0" fontId="0" fillId="5" borderId="12" xfId="0" applyFill="1" applyBorder="1" applyAlignment="1">
      <alignment horizontal="left" vertical="top"/>
    </xf>
    <xf numFmtId="0" fontId="0" fillId="5" borderId="6" xfId="0" applyFill="1" applyBorder="1" applyAlignment="1">
      <alignment horizontal="left" wrapText="1"/>
    </xf>
    <xf numFmtId="0" fontId="0" fillId="5" borderId="17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left" indent="26"/>
    </xf>
  </cellXfs>
  <cellStyles count="1">
    <cellStyle name="Normal" xfId="0" builtinId="0"/>
  </cellStyles>
  <dxfs count="6">
    <dxf>
      <fill>
        <patternFill>
          <bgColor rgb="FFD7E5F5"/>
        </patternFill>
      </fill>
    </dxf>
    <dxf>
      <fill>
        <patternFill>
          <bgColor rgb="FFF1F5F9"/>
        </patternFill>
      </fill>
    </dxf>
    <dxf>
      <font>
        <b/>
        <i val="0"/>
      </font>
    </dxf>
    <dxf>
      <border>
        <bottom style="hair">
          <color rgb="FF0070C0"/>
        </bottom>
        <vertical/>
        <horizontal/>
      </border>
    </dxf>
    <dxf>
      <border>
        <left/>
        <right/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</dxfs>
  <tableStyles count="0" defaultTableStyle="TableStyleMedium2" defaultPivotStyle="PivotStyleLight16"/>
  <colors>
    <mruColors>
      <color rgb="FFD7E5F5"/>
      <color rgb="FFDDE9F7"/>
      <color rgb="FFF1F5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161926</xdr:colOff>
      <xdr:row>22</xdr:row>
      <xdr:rowOff>58810</xdr:rowOff>
    </xdr:from>
    <xdr:to>
      <xdr:col>9</xdr:col>
      <xdr:colOff>942976</xdr:colOff>
      <xdr:row>23</xdr:row>
      <xdr:rowOff>152399</xdr:rowOff>
    </xdr:to>
    <xdr:grpSp>
      <xdr:nvGrpSpPr>
        <xdr:cNvPr id="4" name="Group 3"/>
        <xdr:cNvGrpSpPr/>
      </xdr:nvGrpSpPr>
      <xdr:grpSpPr>
        <a:xfrm>
          <a:off x="8658226" y="4440310"/>
          <a:ext cx="781050" cy="284089"/>
          <a:chOff x="3609975" y="2438400"/>
          <a:chExt cx="657225" cy="216477"/>
        </a:xfrm>
      </xdr:grpSpPr>
      <xdr:sp macro="[0]!Chat_Send" textlink="">
        <xdr:nvSpPr>
          <xdr:cNvPr id="3" name="Rounded Rectangle 2"/>
          <xdr:cNvSpPr/>
        </xdr:nvSpPr>
        <xdr:spPr>
          <a:xfrm>
            <a:off x="3609975" y="2438400"/>
            <a:ext cx="657225" cy="216477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Send</a:t>
            </a:r>
          </a:p>
        </xdr:txBody>
      </xdr:sp>
      <xdr:pic macro="[0]!Chat_Send"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8551" y="2466022"/>
            <a:ext cx="188259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782292</xdr:colOff>
      <xdr:row>0</xdr:row>
      <xdr:rowOff>0</xdr:rowOff>
    </xdr:from>
    <xdr:to>
      <xdr:col>5</xdr:col>
      <xdr:colOff>91059</xdr:colOff>
      <xdr:row>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2592" y="0"/>
          <a:ext cx="747042" cy="752475"/>
        </a:xfrm>
        <a:prstGeom prst="rect">
          <a:avLst/>
        </a:prstGeom>
      </xdr:spPr>
    </xdr:pic>
    <xdr:clientData/>
  </xdr:twoCellAnchor>
  <xdr:twoCellAnchor editAs="oneCell">
    <xdr:from>
      <xdr:col>8</xdr:col>
      <xdr:colOff>47626</xdr:colOff>
      <xdr:row>22</xdr:row>
      <xdr:rowOff>49285</xdr:rowOff>
    </xdr:from>
    <xdr:to>
      <xdr:col>8</xdr:col>
      <xdr:colOff>1752598</xdr:colOff>
      <xdr:row>23</xdr:row>
      <xdr:rowOff>142874</xdr:rowOff>
    </xdr:to>
    <xdr:grpSp>
      <xdr:nvGrpSpPr>
        <xdr:cNvPr id="17" name="Group 16"/>
        <xdr:cNvGrpSpPr/>
      </xdr:nvGrpSpPr>
      <xdr:grpSpPr>
        <a:xfrm>
          <a:off x="6762751" y="4430785"/>
          <a:ext cx="1704972" cy="284089"/>
          <a:chOff x="6981826" y="4449835"/>
          <a:chExt cx="1704972" cy="284089"/>
        </a:xfrm>
      </xdr:grpSpPr>
      <xdr:sp macro="[0]!Chat_CheckAndReceive_Admin" textlink="">
        <xdr:nvSpPr>
          <xdr:cNvPr id="14" name="Rounded Rectangle 13"/>
          <xdr:cNvSpPr/>
        </xdr:nvSpPr>
        <xdr:spPr>
          <a:xfrm>
            <a:off x="6981826" y="4449835"/>
            <a:ext cx="1704972" cy="284089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Check For Messages</a:t>
            </a:r>
          </a:p>
        </xdr:txBody>
      </xdr:sp>
      <xdr:pic macro="[0]!Chat_CheckAndReceive_Admin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10401" y="4482151"/>
            <a:ext cx="275395" cy="21945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390526</xdr:colOff>
      <xdr:row>4</xdr:row>
      <xdr:rowOff>68335</xdr:rowOff>
    </xdr:from>
    <xdr:to>
      <xdr:col>12</xdr:col>
      <xdr:colOff>19050</xdr:colOff>
      <xdr:row>5</xdr:row>
      <xdr:rowOff>161924</xdr:rowOff>
    </xdr:to>
    <xdr:sp macro="[0]!chat_StopChecking" textlink="">
      <xdr:nvSpPr>
        <xdr:cNvPr id="9" name="Rounded Rectangle 8"/>
        <xdr:cNvSpPr/>
      </xdr:nvSpPr>
      <xdr:spPr>
        <a:xfrm>
          <a:off x="11306176" y="1020835"/>
          <a:ext cx="1190624" cy="284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Finish All</a:t>
          </a:r>
          <a:r>
            <a:rPr lang="en-US" sz="1200" b="1" baseline="0"/>
            <a:t> Chats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29"/>
  <sheetViews>
    <sheetView tabSelected="1" topLeftCell="B1" zoomScaleNormal="100" workbookViewId="0">
      <selection activeCell="B5" sqref="A5:XFD22"/>
    </sheetView>
  </sheetViews>
  <sheetFormatPr defaultRowHeight="15" x14ac:dyDescent="0.25"/>
  <cols>
    <col min="1" max="1" width="11" bestFit="1" customWidth="1"/>
    <col min="2" max="2" width="15.85546875" bestFit="1" customWidth="1"/>
    <col min="4" max="4" width="12.42578125" bestFit="1" customWidth="1"/>
    <col min="5" max="5" width="9.140625" customWidth="1"/>
    <col min="6" max="6" width="18.85546875" bestFit="1" customWidth="1"/>
    <col min="7" max="7" width="20" customWidth="1"/>
    <col min="8" max="8" width="4.28515625" customWidth="1"/>
    <col min="9" max="9" width="26.7109375" customWidth="1"/>
    <col min="10" max="10" width="15.140625" customWidth="1"/>
    <col min="11" max="11" width="6.140625" customWidth="1"/>
    <col min="12" max="12" width="17.28515625" bestFit="1" customWidth="1"/>
  </cols>
  <sheetData>
    <row r="1" spans="1:28" ht="36.75" x14ac:dyDescent="0.45">
      <c r="A1" s="2"/>
      <c r="B1" s="2"/>
      <c r="C1" s="64" t="s">
        <v>5</v>
      </c>
      <c r="D1" s="64"/>
      <c r="E1" s="64"/>
      <c r="F1" s="64"/>
      <c r="G1" s="64"/>
      <c r="H1" s="64"/>
      <c r="I1" s="64"/>
      <c r="J1" s="64"/>
      <c r="K1" s="64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4.5" customHeight="1" thickBot="1" x14ac:dyDescent="0.3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8" thickTop="1" x14ac:dyDescent="0.3">
      <c r="A3" s="12" t="s">
        <v>26</v>
      </c>
      <c r="B3" s="41">
        <v>0.29166666666666669</v>
      </c>
      <c r="C3" s="1"/>
      <c r="D3" s="44" t="s">
        <v>2</v>
      </c>
      <c r="E3" s="44"/>
      <c r="F3" s="44"/>
      <c r="G3" s="44"/>
      <c r="H3" s="1"/>
      <c r="I3" s="45" t="s">
        <v>4</v>
      </c>
      <c r="J3" s="46"/>
      <c r="K3" s="1"/>
      <c r="L3" s="5" t="s">
        <v>9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thickBot="1" x14ac:dyDescent="0.3">
      <c r="A4" s="12" t="s">
        <v>21</v>
      </c>
      <c r="B4" s="13">
        <v>123460</v>
      </c>
      <c r="C4" s="1"/>
      <c r="D4" s="4" t="s">
        <v>0</v>
      </c>
      <c r="E4" s="4" t="s">
        <v>3</v>
      </c>
      <c r="F4" s="4" t="s">
        <v>24</v>
      </c>
      <c r="G4" s="4" t="s">
        <v>1</v>
      </c>
      <c r="H4" s="3"/>
      <c r="I4" s="7" t="s">
        <v>20</v>
      </c>
      <c r="J4" s="8" t="s">
        <v>36</v>
      </c>
      <c r="K4" s="1"/>
      <c r="L4" s="6" t="s">
        <v>10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" customHeight="1" thickTop="1" thickBot="1" x14ac:dyDescent="0.3">
      <c r="A5" s="12" t="s">
        <v>32</v>
      </c>
      <c r="B5" s="13">
        <v>7</v>
      </c>
      <c r="C5" s="1"/>
      <c r="D5" s="9" t="s">
        <v>46</v>
      </c>
      <c r="E5" s="10" t="s">
        <v>33</v>
      </c>
      <c r="F5" s="39">
        <v>44191.445441743665</v>
      </c>
      <c r="G5" s="11" t="s">
        <v>42</v>
      </c>
      <c r="H5" s="63">
        <v>13</v>
      </c>
      <c r="I5" s="53" t="s">
        <v>52</v>
      </c>
      <c r="J5" s="5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" customHeight="1" thickTop="1" thickBot="1" x14ac:dyDescent="0.3">
      <c r="A6" s="12" t="s">
        <v>34</v>
      </c>
      <c r="B6" s="23">
        <v>44191.130486111113</v>
      </c>
      <c r="C6" s="1"/>
      <c r="D6" s="31" t="s">
        <v>15</v>
      </c>
      <c r="E6" s="32" t="s">
        <v>33</v>
      </c>
      <c r="F6" s="40">
        <v>44191.413611111064</v>
      </c>
      <c r="G6" s="34" t="s">
        <v>43</v>
      </c>
      <c r="H6" s="63">
        <v>9</v>
      </c>
      <c r="I6" s="55"/>
      <c r="J6" s="56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" customHeight="1" thickTop="1" thickBot="1" x14ac:dyDescent="0.3">
      <c r="A7" s="2"/>
      <c r="B7" s="2"/>
      <c r="C7" s="1"/>
      <c r="D7" s="31" t="s">
        <v>36</v>
      </c>
      <c r="E7" s="32" t="s">
        <v>33</v>
      </c>
      <c r="F7" s="40">
        <v>44191.396307870367</v>
      </c>
      <c r="G7" s="34" t="s">
        <v>47</v>
      </c>
      <c r="H7" s="63">
        <v>19</v>
      </c>
      <c r="I7" s="55"/>
      <c r="J7" s="56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" customHeight="1" thickTop="1" thickBot="1" x14ac:dyDescent="0.3">
      <c r="A8" s="2"/>
      <c r="B8" s="2"/>
      <c r="C8" s="1"/>
      <c r="D8" s="31"/>
      <c r="E8" s="32"/>
      <c r="F8" s="40"/>
      <c r="G8" s="34"/>
      <c r="H8" s="63"/>
      <c r="I8" s="55"/>
      <c r="J8" s="56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" customHeight="1" thickTop="1" thickBot="1" x14ac:dyDescent="0.3">
      <c r="A9" s="2"/>
      <c r="B9" s="2"/>
      <c r="C9" s="1"/>
      <c r="D9" s="31"/>
      <c r="E9" s="32"/>
      <c r="F9" s="40"/>
      <c r="G9" s="35"/>
      <c r="H9" s="28"/>
      <c r="I9" s="55"/>
      <c r="J9" s="56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" customHeight="1" thickTop="1" thickBot="1" x14ac:dyDescent="0.3">
      <c r="A10" s="2"/>
      <c r="B10" s="2"/>
      <c r="C10" s="1"/>
      <c r="D10" s="31"/>
      <c r="E10" s="32"/>
      <c r="F10" s="40"/>
      <c r="G10" s="35"/>
      <c r="H10" s="28"/>
      <c r="I10" s="55"/>
      <c r="J10" s="56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" customHeight="1" thickTop="1" thickBot="1" x14ac:dyDescent="0.3">
      <c r="A11" s="2"/>
      <c r="B11" s="2"/>
      <c r="C11" s="1"/>
      <c r="D11" s="31"/>
      <c r="E11" s="32"/>
      <c r="F11" s="40"/>
      <c r="G11" s="35"/>
      <c r="H11" s="28"/>
      <c r="I11" s="55"/>
      <c r="J11" s="56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" customHeight="1" thickTop="1" thickBot="1" x14ac:dyDescent="0.3">
      <c r="A12" s="2"/>
      <c r="B12" s="2"/>
      <c r="C12" s="1"/>
      <c r="D12" s="31"/>
      <c r="E12" s="32"/>
      <c r="F12" s="40"/>
      <c r="G12" s="35"/>
      <c r="H12" s="28"/>
      <c r="I12" s="55"/>
      <c r="J12" s="56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" customHeight="1" thickTop="1" thickBot="1" x14ac:dyDescent="0.3">
      <c r="A13" s="2"/>
      <c r="B13" s="2"/>
      <c r="C13" s="1"/>
      <c r="D13" s="31"/>
      <c r="E13" s="32"/>
      <c r="F13" s="40"/>
      <c r="G13" s="35"/>
      <c r="H13" s="28"/>
      <c r="I13" s="55"/>
      <c r="J13" s="56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" customHeight="1" thickTop="1" thickBot="1" x14ac:dyDescent="0.3">
      <c r="A14" s="2"/>
      <c r="B14" s="2"/>
      <c r="C14" s="1"/>
      <c r="D14" s="31"/>
      <c r="E14" s="32"/>
      <c r="F14" s="40"/>
      <c r="G14" s="35"/>
      <c r="H14" s="28"/>
      <c r="I14" s="55"/>
      <c r="J14" s="56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" customHeight="1" thickTop="1" thickBot="1" x14ac:dyDescent="0.3">
      <c r="A15" s="2"/>
      <c r="B15" s="2"/>
      <c r="C15" s="1"/>
      <c r="D15" s="31"/>
      <c r="E15" s="32"/>
      <c r="F15" s="40"/>
      <c r="G15" s="35"/>
      <c r="H15" s="28"/>
      <c r="I15" s="55"/>
      <c r="J15" s="56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" customHeight="1" thickTop="1" thickBot="1" x14ac:dyDescent="0.3">
      <c r="A16" s="2"/>
      <c r="B16" s="2"/>
      <c r="C16" s="1"/>
      <c r="D16" s="31"/>
      <c r="E16" s="32"/>
      <c r="F16" s="40"/>
      <c r="G16" s="35"/>
      <c r="H16" s="28"/>
      <c r="I16" s="55"/>
      <c r="J16" s="56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" customHeight="1" thickTop="1" thickBot="1" x14ac:dyDescent="0.3">
      <c r="A17" s="2"/>
      <c r="B17" s="2"/>
      <c r="C17" s="1"/>
      <c r="D17" s="31"/>
      <c r="E17" s="32"/>
      <c r="F17" s="40"/>
      <c r="G17" s="35"/>
      <c r="H17" s="28"/>
      <c r="I17" s="55"/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" customHeight="1" thickTop="1" thickBot="1" x14ac:dyDescent="0.3">
      <c r="A18" s="2"/>
      <c r="B18" s="2"/>
      <c r="C18" s="1"/>
      <c r="D18" s="31"/>
      <c r="E18" s="32"/>
      <c r="F18" s="40"/>
      <c r="G18" s="35"/>
      <c r="H18" s="28"/>
      <c r="I18" s="55"/>
      <c r="J18" s="56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" customHeight="1" thickTop="1" thickBot="1" x14ac:dyDescent="0.3">
      <c r="A19" s="2"/>
      <c r="B19" s="2"/>
      <c r="C19" s="1"/>
      <c r="D19" s="31"/>
      <c r="E19" s="32"/>
      <c r="F19" s="40"/>
      <c r="G19" s="35"/>
      <c r="H19" s="28"/>
      <c r="I19" s="55"/>
      <c r="J19" s="56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" customHeight="1" thickTop="1" thickBot="1" x14ac:dyDescent="0.3">
      <c r="A20" s="2"/>
      <c r="B20" s="2"/>
      <c r="C20" s="1"/>
      <c r="D20" s="31"/>
      <c r="E20" s="32"/>
      <c r="F20" s="40"/>
      <c r="G20" s="35"/>
      <c r="H20" s="28"/>
      <c r="I20" s="55"/>
      <c r="J20" s="56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" customHeight="1" thickTop="1" thickBot="1" x14ac:dyDescent="0.3">
      <c r="A21" s="2"/>
      <c r="B21" s="2"/>
      <c r="C21" s="1"/>
      <c r="D21" s="31"/>
      <c r="E21" s="32"/>
      <c r="F21" s="40"/>
      <c r="G21" s="35"/>
      <c r="H21" s="28"/>
      <c r="I21" s="55"/>
      <c r="J21" s="56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" customHeight="1" thickTop="1" thickBot="1" x14ac:dyDescent="0.3">
      <c r="A22" s="2"/>
      <c r="B22" s="2"/>
      <c r="C22" s="1"/>
      <c r="D22" s="31"/>
      <c r="E22" s="32"/>
      <c r="F22" s="40"/>
      <c r="G22" s="35"/>
      <c r="H22" s="28"/>
      <c r="I22" s="57"/>
      <c r="J22" s="5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" customHeight="1" thickTop="1" thickBot="1" x14ac:dyDescent="0.3">
      <c r="A23" s="2"/>
      <c r="B23" s="2"/>
      <c r="C23" s="1"/>
      <c r="D23" s="31"/>
      <c r="E23" s="32"/>
      <c r="F23" s="40"/>
      <c r="G23" s="35"/>
      <c r="H23" s="28"/>
      <c r="I23" s="14"/>
      <c r="J23" s="1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" customHeight="1" thickTop="1" thickBot="1" x14ac:dyDescent="0.3">
      <c r="A24" s="2"/>
      <c r="B24" s="2"/>
      <c r="C24" s="1"/>
      <c r="D24" s="31"/>
      <c r="E24" s="32"/>
      <c r="F24" s="40"/>
      <c r="G24" s="35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" customHeight="1" thickTop="1" thickBot="1" x14ac:dyDescent="0.3">
      <c r="A25" s="2"/>
      <c r="B25" s="2"/>
      <c r="C25" s="1"/>
      <c r="D25" s="31"/>
      <c r="E25" s="32"/>
      <c r="F25" s="40"/>
      <c r="G25" s="35"/>
      <c r="H25" s="28"/>
      <c r="I25" s="47"/>
      <c r="J25" s="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" customHeight="1" thickTop="1" thickBot="1" x14ac:dyDescent="0.3">
      <c r="A26" s="2"/>
      <c r="B26" s="2"/>
      <c r="C26" s="1"/>
      <c r="D26" s="31"/>
      <c r="E26" s="32"/>
      <c r="F26" s="40"/>
      <c r="G26" s="35"/>
      <c r="H26" s="28"/>
      <c r="I26" s="49"/>
      <c r="J26" s="50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" customHeight="1" thickTop="1" thickBot="1" x14ac:dyDescent="0.3">
      <c r="A27" s="2"/>
      <c r="B27" s="2"/>
      <c r="C27" s="1"/>
      <c r="D27" s="31"/>
      <c r="E27" s="32"/>
      <c r="F27" s="40"/>
      <c r="G27" s="35"/>
      <c r="H27" s="28"/>
      <c r="I27" s="49"/>
      <c r="J27" s="50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" customHeight="1" thickTop="1" thickBot="1" x14ac:dyDescent="0.3">
      <c r="A28" s="2"/>
      <c r="B28" s="2"/>
      <c r="C28" s="1"/>
      <c r="D28" s="31"/>
      <c r="E28" s="32"/>
      <c r="F28" s="40"/>
      <c r="G28" s="35"/>
      <c r="H28" s="28"/>
      <c r="I28" s="51"/>
      <c r="J28" s="5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" customHeight="1" thickTop="1" thickBot="1" x14ac:dyDescent="0.3">
      <c r="A29" s="2"/>
      <c r="B29" s="2"/>
      <c r="C29" s="1"/>
      <c r="D29" s="31"/>
      <c r="E29" s="32"/>
      <c r="F29" s="40"/>
      <c r="G29" s="35"/>
      <c r="H29" s="29"/>
      <c r="I29" s="16"/>
      <c r="J29" s="16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" customHeight="1" thickTop="1" thickBot="1" x14ac:dyDescent="0.3">
      <c r="A30" s="2"/>
      <c r="B30" s="2"/>
      <c r="C30" s="1"/>
      <c r="D30" s="31"/>
      <c r="E30" s="32"/>
      <c r="F30" s="40"/>
      <c r="G30" s="35"/>
      <c r="H30" s="29"/>
      <c r="I30" s="16"/>
      <c r="J30" s="16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6.5" thickTop="1" thickBot="1" x14ac:dyDescent="0.3">
      <c r="A31" s="2"/>
      <c r="B31" s="2"/>
      <c r="C31" s="1"/>
      <c r="D31" s="31"/>
      <c r="E31" s="32"/>
      <c r="F31" s="40"/>
      <c r="G31" s="35"/>
      <c r="H31" s="3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6.5" thickTop="1" thickBot="1" x14ac:dyDescent="0.3">
      <c r="A32" s="2"/>
      <c r="B32" s="2"/>
      <c r="C32" s="1"/>
      <c r="D32" s="31"/>
      <c r="E32" s="32"/>
      <c r="F32" s="40"/>
      <c r="G32" s="35"/>
      <c r="H32" s="3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6.5" thickTop="1" thickBot="1" x14ac:dyDescent="0.3">
      <c r="A33" s="2"/>
      <c r="B33" s="2"/>
      <c r="C33" s="1"/>
      <c r="D33" s="31"/>
      <c r="E33" s="32"/>
      <c r="F33" s="40"/>
      <c r="G33" s="35"/>
      <c r="H33" s="30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6.5" thickTop="1" thickBot="1" x14ac:dyDescent="0.3">
      <c r="A34" s="2"/>
      <c r="B34" s="2"/>
      <c r="C34" s="1"/>
      <c r="D34" s="31"/>
      <c r="E34" s="32"/>
      <c r="F34" s="40"/>
      <c r="G34" s="35"/>
      <c r="H34" s="3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6.5" thickTop="1" thickBot="1" x14ac:dyDescent="0.3">
      <c r="A35" s="2"/>
      <c r="B35" s="2"/>
      <c r="C35" s="1"/>
      <c r="D35" s="31"/>
      <c r="E35" s="32"/>
      <c r="F35" s="40"/>
      <c r="G35" s="35"/>
      <c r="H35" s="30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6.5" thickTop="1" thickBot="1" x14ac:dyDescent="0.3">
      <c r="A36" s="2"/>
      <c r="B36" s="2"/>
      <c r="C36" s="1"/>
      <c r="D36" s="31"/>
      <c r="E36" s="32"/>
      <c r="F36" s="40"/>
      <c r="G36" s="35"/>
      <c r="H36" s="3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6.5" thickTop="1" thickBot="1" x14ac:dyDescent="0.3">
      <c r="A37" s="2"/>
      <c r="B37" s="2"/>
      <c r="C37" s="1"/>
      <c r="D37" s="31"/>
      <c r="E37" s="32"/>
      <c r="F37" s="40"/>
      <c r="G37" s="35"/>
      <c r="H37" s="30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6.5" thickTop="1" thickBot="1" x14ac:dyDescent="0.3">
      <c r="C38" s="1"/>
      <c r="D38" s="31"/>
      <c r="E38" s="32"/>
      <c r="F38" s="40"/>
      <c r="G38" s="35"/>
      <c r="H38" s="30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6.5" thickTop="1" thickBot="1" x14ac:dyDescent="0.3">
      <c r="C39" s="1"/>
      <c r="D39" s="31"/>
      <c r="E39" s="32"/>
      <c r="F39" s="40"/>
      <c r="G39" s="35"/>
      <c r="H39" s="30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6.5" thickTop="1" thickBot="1" x14ac:dyDescent="0.3">
      <c r="C40" s="1"/>
      <c r="D40" s="31"/>
      <c r="E40" s="32"/>
      <c r="F40" s="40"/>
      <c r="G40" s="35"/>
      <c r="H40" s="30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6.5" thickTop="1" thickBot="1" x14ac:dyDescent="0.3">
      <c r="C41" s="1"/>
      <c r="D41" s="31"/>
      <c r="E41" s="32"/>
      <c r="F41" s="40"/>
      <c r="G41" s="35"/>
      <c r="H41" s="30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6.5" thickTop="1" thickBot="1" x14ac:dyDescent="0.3">
      <c r="C42" s="1"/>
      <c r="D42" s="31"/>
      <c r="E42" s="32"/>
      <c r="F42" s="40"/>
      <c r="G42" s="35"/>
      <c r="H42" s="30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6.5" thickTop="1" thickBot="1" x14ac:dyDescent="0.3">
      <c r="C43" s="1"/>
      <c r="D43" s="31"/>
      <c r="E43" s="32"/>
      <c r="F43" s="40"/>
      <c r="G43" s="35"/>
      <c r="H43" s="30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6.5" thickTop="1" thickBot="1" x14ac:dyDescent="0.3">
      <c r="C44" s="1"/>
      <c r="D44" s="31"/>
      <c r="E44" s="32"/>
      <c r="F44" s="40"/>
      <c r="G44" s="35"/>
      <c r="H44" s="30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6.5" thickTop="1" thickBot="1" x14ac:dyDescent="0.3">
      <c r="C45" s="1"/>
      <c r="D45" s="31"/>
      <c r="E45" s="32"/>
      <c r="F45" s="40"/>
      <c r="G45" s="35"/>
      <c r="H45" s="30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6.5" thickTop="1" thickBot="1" x14ac:dyDescent="0.3">
      <c r="C46" s="1"/>
      <c r="D46" s="31"/>
      <c r="E46" s="32"/>
      <c r="F46" s="40"/>
      <c r="G46" s="35"/>
      <c r="H46" s="30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6.5" thickTop="1" thickBot="1" x14ac:dyDescent="0.3">
      <c r="C47" s="1"/>
      <c r="D47" s="31"/>
      <c r="E47" s="32"/>
      <c r="F47" s="40"/>
      <c r="G47" s="35"/>
      <c r="H47" s="30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6.5" thickTop="1" thickBot="1" x14ac:dyDescent="0.3">
      <c r="C48" s="1"/>
      <c r="D48" s="31"/>
      <c r="E48" s="32"/>
      <c r="F48" s="40"/>
      <c r="G48" s="35"/>
      <c r="H48" s="30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3:28" ht="16.5" thickTop="1" thickBot="1" x14ac:dyDescent="0.3">
      <c r="C49" s="1"/>
      <c r="D49" s="31"/>
      <c r="E49" s="32"/>
      <c r="F49" s="40"/>
      <c r="G49" s="35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3:28" ht="16.5" thickTop="1" thickBot="1" x14ac:dyDescent="0.3">
      <c r="C50" s="1"/>
      <c r="D50" s="31"/>
      <c r="E50" s="32"/>
      <c r="F50" s="40"/>
      <c r="G50" s="35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3:28" ht="16.5" thickTop="1" thickBot="1" x14ac:dyDescent="0.3">
      <c r="C51" s="1"/>
      <c r="D51" s="31"/>
      <c r="E51" s="32"/>
      <c r="F51" s="40"/>
      <c r="G51" s="35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3:28" ht="16.5" thickTop="1" thickBot="1" x14ac:dyDescent="0.3">
      <c r="C52" s="1"/>
      <c r="D52" s="31"/>
      <c r="E52" s="32"/>
      <c r="F52" s="40"/>
      <c r="G52" s="35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3:28" ht="16.5" thickTop="1" thickBot="1" x14ac:dyDescent="0.3">
      <c r="C53" s="1"/>
      <c r="D53" s="31"/>
      <c r="E53" s="32"/>
      <c r="F53" s="40"/>
      <c r="G53" s="35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3:28" ht="16.5" thickTop="1" thickBot="1" x14ac:dyDescent="0.3">
      <c r="C54" s="1"/>
      <c r="D54" s="31"/>
      <c r="E54" s="32"/>
      <c r="F54" s="40"/>
      <c r="G54" s="35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3:28" ht="16.5" thickTop="1" thickBot="1" x14ac:dyDescent="0.3">
      <c r="C55" s="1"/>
      <c r="D55" s="31"/>
      <c r="E55" s="32"/>
      <c r="F55" s="40"/>
      <c r="G55" s="35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3:28" ht="16.5" thickTop="1" thickBot="1" x14ac:dyDescent="0.3">
      <c r="C56" s="1"/>
      <c r="D56" s="31"/>
      <c r="E56" s="32"/>
      <c r="F56" s="40"/>
      <c r="G56" s="35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3:28" ht="16.5" thickTop="1" thickBot="1" x14ac:dyDescent="0.3">
      <c r="C57" s="1"/>
      <c r="D57" s="31"/>
      <c r="E57" s="32"/>
      <c r="F57" s="40"/>
      <c r="G57" s="35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3:28" ht="16.5" thickTop="1" thickBot="1" x14ac:dyDescent="0.3">
      <c r="C58" s="1"/>
      <c r="D58" s="31"/>
      <c r="E58" s="32"/>
      <c r="F58" s="40"/>
      <c r="G58" s="35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3:28" ht="16.5" thickTop="1" thickBot="1" x14ac:dyDescent="0.3">
      <c r="C59" s="1"/>
      <c r="D59" s="31"/>
      <c r="E59" s="32"/>
      <c r="F59" s="40"/>
      <c r="G59" s="35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3:28" ht="16.5" thickTop="1" thickBot="1" x14ac:dyDescent="0.3">
      <c r="C60" s="1"/>
      <c r="D60" s="31"/>
      <c r="E60" s="32"/>
      <c r="F60" s="40"/>
      <c r="G60" s="35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3:28" ht="16.5" thickTop="1" thickBot="1" x14ac:dyDescent="0.3">
      <c r="C61" s="1"/>
      <c r="D61" s="31"/>
      <c r="E61" s="32"/>
      <c r="F61" s="40"/>
      <c r="G61" s="35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3:28" ht="16.5" thickTop="1" thickBot="1" x14ac:dyDescent="0.3">
      <c r="C62" s="1"/>
      <c r="D62" s="31"/>
      <c r="E62" s="32"/>
      <c r="F62" s="40"/>
      <c r="G62" s="35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3:28" ht="16.5" thickTop="1" thickBot="1" x14ac:dyDescent="0.3">
      <c r="C63" s="1"/>
      <c r="D63" s="31"/>
      <c r="E63" s="32"/>
      <c r="F63" s="40"/>
      <c r="G63" s="35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3:28" ht="16.5" thickTop="1" thickBot="1" x14ac:dyDescent="0.3">
      <c r="C64" s="1"/>
      <c r="D64" s="31"/>
      <c r="E64" s="32"/>
      <c r="F64" s="40"/>
      <c r="G64" s="35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3:28" ht="16.5" thickTop="1" thickBot="1" x14ac:dyDescent="0.3">
      <c r="C65" s="1"/>
      <c r="D65" s="31"/>
      <c r="E65" s="32"/>
      <c r="F65" s="40"/>
      <c r="G65" s="35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3:28" ht="16.5" thickTop="1" thickBot="1" x14ac:dyDescent="0.3">
      <c r="C66" s="1"/>
      <c r="D66" s="31"/>
      <c r="E66" s="32"/>
      <c r="F66" s="40"/>
      <c r="G66" s="35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3:28" ht="16.5" thickTop="1" thickBot="1" x14ac:dyDescent="0.3">
      <c r="C67" s="1"/>
      <c r="D67" s="31"/>
      <c r="E67" s="32"/>
      <c r="F67" s="40"/>
      <c r="G67" s="35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3:28" ht="16.5" thickTop="1" thickBot="1" x14ac:dyDescent="0.3">
      <c r="C68" s="1"/>
      <c r="D68" s="31"/>
      <c r="E68" s="32"/>
      <c r="F68" s="40"/>
      <c r="G68" s="35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3:28" ht="16.5" thickTop="1" thickBot="1" x14ac:dyDescent="0.3">
      <c r="C69" s="1"/>
      <c r="D69" s="31"/>
      <c r="E69" s="32"/>
      <c r="F69" s="40"/>
      <c r="G69" s="35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3:28" ht="16.5" thickTop="1" thickBot="1" x14ac:dyDescent="0.3">
      <c r="C70" s="1"/>
      <c r="D70" s="31"/>
      <c r="E70" s="32"/>
      <c r="F70" s="40"/>
      <c r="G70" s="35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3:28" ht="16.5" thickTop="1" thickBot="1" x14ac:dyDescent="0.3">
      <c r="C71" s="1"/>
      <c r="D71" s="31"/>
      <c r="E71" s="32"/>
      <c r="F71" s="40"/>
      <c r="G71" s="35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3:28" ht="16.5" thickTop="1" thickBot="1" x14ac:dyDescent="0.3">
      <c r="C72" s="1"/>
      <c r="D72" s="31"/>
      <c r="E72" s="32"/>
      <c r="F72" s="40"/>
      <c r="G72" s="35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3:28" ht="16.5" thickTop="1" thickBot="1" x14ac:dyDescent="0.3">
      <c r="C73" s="1"/>
      <c r="D73" s="31"/>
      <c r="E73" s="32"/>
      <c r="F73" s="40"/>
      <c r="G73" s="35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3:28" ht="16.5" thickTop="1" thickBot="1" x14ac:dyDescent="0.3">
      <c r="C74" s="1"/>
      <c r="D74" s="31"/>
      <c r="E74" s="32"/>
      <c r="F74" s="40"/>
      <c r="G74" s="35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3:28" ht="16.5" thickTop="1" thickBot="1" x14ac:dyDescent="0.3">
      <c r="C75" s="1"/>
      <c r="D75" s="31"/>
      <c r="E75" s="32"/>
      <c r="F75" s="40"/>
      <c r="G75" s="35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3:28" ht="16.5" thickTop="1" thickBot="1" x14ac:dyDescent="0.3">
      <c r="C76" s="1"/>
      <c r="D76" s="31"/>
      <c r="E76" s="32"/>
      <c r="F76" s="40"/>
      <c r="G76" s="35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3:28" ht="16.5" thickTop="1" thickBot="1" x14ac:dyDescent="0.3">
      <c r="C77" s="1"/>
      <c r="D77" s="31"/>
      <c r="E77" s="32"/>
      <c r="F77" s="33"/>
      <c r="G77" s="35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3:28" ht="16.5" thickTop="1" thickBot="1" x14ac:dyDescent="0.3">
      <c r="C78" s="1"/>
      <c r="D78" s="31"/>
      <c r="E78" s="32"/>
      <c r="F78" s="33"/>
      <c r="G78" s="35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3:28" ht="16.5" thickTop="1" thickBot="1" x14ac:dyDescent="0.3">
      <c r="C79" s="1"/>
      <c r="D79" s="31"/>
      <c r="E79" s="32"/>
      <c r="F79" s="33"/>
      <c r="G79" s="35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3:28" ht="16.5" thickTop="1" thickBot="1" x14ac:dyDescent="0.3">
      <c r="C80" s="1"/>
      <c r="D80" s="31"/>
      <c r="E80" s="32"/>
      <c r="F80" s="33"/>
      <c r="G80" s="35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3:28" ht="16.5" thickTop="1" thickBot="1" x14ac:dyDescent="0.3">
      <c r="C81" s="1"/>
      <c r="D81" s="31"/>
      <c r="E81" s="32"/>
      <c r="F81" s="33"/>
      <c r="G81" s="35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3:28" ht="16.5" thickTop="1" thickBot="1" x14ac:dyDescent="0.3">
      <c r="C82" s="1"/>
      <c r="D82" s="31"/>
      <c r="E82" s="32"/>
      <c r="F82" s="33"/>
      <c r="G82" s="35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3:28" ht="16.5" thickTop="1" thickBot="1" x14ac:dyDescent="0.3">
      <c r="C83" s="1"/>
      <c r="D83" s="31"/>
      <c r="E83" s="32"/>
      <c r="F83" s="33"/>
      <c r="G83" s="35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3:28" ht="16.5" thickTop="1" thickBot="1" x14ac:dyDescent="0.3">
      <c r="C84" s="1"/>
      <c r="D84" s="31"/>
      <c r="E84" s="32"/>
      <c r="F84" s="33"/>
      <c r="G84" s="35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3:28" ht="16.5" thickTop="1" thickBot="1" x14ac:dyDescent="0.3">
      <c r="C85" s="1"/>
      <c r="D85" s="31"/>
      <c r="E85" s="32"/>
      <c r="F85" s="33"/>
      <c r="G85" s="35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3:28" ht="16.5" thickTop="1" thickBot="1" x14ac:dyDescent="0.3">
      <c r="C86" s="1"/>
      <c r="D86" s="31"/>
      <c r="E86" s="32"/>
      <c r="F86" s="33"/>
      <c r="G86" s="35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3:28" ht="16.5" thickTop="1" thickBot="1" x14ac:dyDescent="0.3">
      <c r="C87" s="1"/>
      <c r="D87" s="31"/>
      <c r="E87" s="32"/>
      <c r="F87" s="33"/>
      <c r="G87" s="35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3:28" ht="16.5" thickTop="1" thickBot="1" x14ac:dyDescent="0.3">
      <c r="C88" s="1"/>
      <c r="D88" s="31"/>
      <c r="E88" s="32"/>
      <c r="F88" s="33"/>
      <c r="G88" s="35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3:28" ht="16.5" thickTop="1" thickBot="1" x14ac:dyDescent="0.3">
      <c r="C89" s="1"/>
      <c r="D89" s="31"/>
      <c r="E89" s="32"/>
      <c r="F89" s="33"/>
      <c r="G89" s="35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3:28" ht="16.5" thickTop="1" thickBot="1" x14ac:dyDescent="0.3">
      <c r="C90" s="1"/>
      <c r="D90" s="31"/>
      <c r="E90" s="32"/>
      <c r="F90" s="33"/>
      <c r="G90" s="35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3:28" ht="16.5" thickTop="1" thickBot="1" x14ac:dyDescent="0.3">
      <c r="C91" s="1"/>
      <c r="D91" s="31"/>
      <c r="E91" s="32"/>
      <c r="F91" s="33"/>
      <c r="G91" s="35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3:28" ht="16.5" thickTop="1" thickBot="1" x14ac:dyDescent="0.3">
      <c r="C92" s="1"/>
      <c r="D92" s="31"/>
      <c r="E92" s="32"/>
      <c r="F92" s="33"/>
      <c r="G92" s="35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3:28" ht="16.5" thickTop="1" thickBot="1" x14ac:dyDescent="0.3">
      <c r="C93" s="1"/>
      <c r="D93" s="31"/>
      <c r="E93" s="32"/>
      <c r="F93" s="33"/>
      <c r="G93" s="35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3:28" ht="16.5" thickTop="1" thickBot="1" x14ac:dyDescent="0.3">
      <c r="C94" s="1"/>
      <c r="D94" s="31"/>
      <c r="E94" s="32"/>
      <c r="F94" s="33"/>
      <c r="G94" s="35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3:28" ht="16.5" thickTop="1" thickBot="1" x14ac:dyDescent="0.3">
      <c r="C95" s="1"/>
      <c r="D95" s="31"/>
      <c r="E95" s="32"/>
      <c r="F95" s="33"/>
      <c r="G95" s="35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3:28" ht="16.5" thickTop="1" thickBot="1" x14ac:dyDescent="0.3">
      <c r="C96" s="1"/>
      <c r="D96" s="31"/>
      <c r="E96" s="32"/>
      <c r="F96" s="33"/>
      <c r="G96" s="35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3:28" ht="16.5" thickTop="1" thickBot="1" x14ac:dyDescent="0.3">
      <c r="C97" s="1"/>
      <c r="D97" s="31"/>
      <c r="E97" s="32"/>
      <c r="F97" s="33"/>
      <c r="G97" s="35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3:28" ht="16.5" thickTop="1" thickBot="1" x14ac:dyDescent="0.3">
      <c r="C98" s="1"/>
      <c r="D98" s="31"/>
      <c r="E98" s="32"/>
      <c r="F98" s="33"/>
      <c r="G98" s="35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3:28" ht="16.5" thickTop="1" thickBot="1" x14ac:dyDescent="0.3">
      <c r="C99" s="1"/>
      <c r="D99" s="31"/>
      <c r="E99" s="32"/>
      <c r="F99" s="33"/>
      <c r="G99" s="35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3:28" ht="16.5" thickTop="1" thickBot="1" x14ac:dyDescent="0.3">
      <c r="C100" s="1"/>
      <c r="D100" s="31"/>
      <c r="E100" s="32"/>
      <c r="F100" s="33"/>
      <c r="G100" s="35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3:28" ht="16.5" thickTop="1" thickBot="1" x14ac:dyDescent="0.3">
      <c r="C101" s="1"/>
      <c r="D101" s="31"/>
      <c r="E101" s="32"/>
      <c r="F101" s="33"/>
      <c r="G101" s="35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3:28" ht="16.5" thickTop="1" thickBot="1" x14ac:dyDescent="0.3">
      <c r="C102" s="1"/>
      <c r="D102" s="31"/>
      <c r="E102" s="32"/>
      <c r="F102" s="33"/>
      <c r="G102" s="35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3:28" ht="16.5" thickTop="1" thickBot="1" x14ac:dyDescent="0.3">
      <c r="C103" s="1"/>
      <c r="D103" s="31"/>
      <c r="E103" s="32"/>
      <c r="F103" s="33"/>
      <c r="G103" s="35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3:28" ht="16.5" thickTop="1" thickBot="1" x14ac:dyDescent="0.3">
      <c r="C104" s="1"/>
      <c r="D104" s="31"/>
      <c r="E104" s="32"/>
      <c r="F104" s="33"/>
      <c r="G104" s="35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3:28" ht="16.5" thickTop="1" thickBot="1" x14ac:dyDescent="0.3">
      <c r="C105" s="1"/>
      <c r="D105" s="31"/>
      <c r="E105" s="32"/>
      <c r="F105" s="33"/>
      <c r="G105" s="35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3:28" ht="16.5" thickTop="1" thickBot="1" x14ac:dyDescent="0.3">
      <c r="C106" s="1"/>
      <c r="D106" s="31"/>
      <c r="E106" s="32"/>
      <c r="F106" s="33"/>
      <c r="G106" s="35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3:28" ht="16.5" thickTop="1" thickBot="1" x14ac:dyDescent="0.3">
      <c r="C107" s="1"/>
      <c r="D107" s="31"/>
      <c r="E107" s="32"/>
      <c r="F107" s="33"/>
      <c r="G107" s="35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3:28" ht="16.5" thickTop="1" thickBot="1" x14ac:dyDescent="0.3">
      <c r="C108" s="1"/>
      <c r="D108" s="31"/>
      <c r="E108" s="32"/>
      <c r="F108" s="33"/>
      <c r="G108" s="35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3:28" ht="16.5" thickTop="1" thickBot="1" x14ac:dyDescent="0.3">
      <c r="C109" s="1"/>
      <c r="D109" s="31"/>
      <c r="E109" s="32"/>
      <c r="F109" s="33"/>
      <c r="G109" s="35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3:28" ht="16.5" thickTop="1" thickBot="1" x14ac:dyDescent="0.3">
      <c r="C110" s="1"/>
      <c r="D110" s="31"/>
      <c r="E110" s="32"/>
      <c r="F110" s="33"/>
      <c r="G110" s="35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3:28" ht="16.5" thickTop="1" thickBot="1" x14ac:dyDescent="0.3">
      <c r="C111" s="1"/>
      <c r="D111" s="31"/>
      <c r="E111" s="32"/>
      <c r="F111" s="33"/>
      <c r="G111" s="35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3:28" ht="16.5" thickTop="1" thickBot="1" x14ac:dyDescent="0.3">
      <c r="C112" s="1"/>
      <c r="D112" s="31"/>
      <c r="E112" s="32"/>
      <c r="F112" s="33"/>
      <c r="G112" s="35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3:28" ht="16.5" thickTop="1" thickBot="1" x14ac:dyDescent="0.3">
      <c r="C113" s="1"/>
      <c r="D113" s="31"/>
      <c r="E113" s="32"/>
      <c r="F113" s="33"/>
      <c r="G113" s="35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3:28" ht="16.5" thickTop="1" thickBot="1" x14ac:dyDescent="0.3">
      <c r="C114" s="1"/>
      <c r="D114" s="31"/>
      <c r="E114" s="32"/>
      <c r="F114" s="33"/>
      <c r="G114" s="35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3:28" ht="16.5" thickTop="1" thickBot="1" x14ac:dyDescent="0.3">
      <c r="C115" s="1"/>
      <c r="D115" s="31"/>
      <c r="E115" s="32"/>
      <c r="F115" s="33"/>
      <c r="G115" s="35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3:28" ht="16.5" thickTop="1" thickBot="1" x14ac:dyDescent="0.3">
      <c r="C116" s="1"/>
      <c r="D116" s="31"/>
      <c r="E116" s="32"/>
      <c r="F116" s="33"/>
      <c r="G116" s="35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3:28" ht="16.5" thickTop="1" thickBot="1" x14ac:dyDescent="0.3">
      <c r="C117" s="1"/>
      <c r="D117" s="31"/>
      <c r="E117" s="32"/>
      <c r="F117" s="33"/>
      <c r="G117" s="35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3:28" ht="16.5" thickTop="1" thickBot="1" x14ac:dyDescent="0.3">
      <c r="C118" s="1"/>
      <c r="D118" s="31"/>
      <c r="E118" s="32"/>
      <c r="F118" s="33"/>
      <c r="G118" s="35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3:28" ht="16.5" thickTop="1" thickBot="1" x14ac:dyDescent="0.3">
      <c r="C119" s="1"/>
      <c r="D119" s="31"/>
      <c r="E119" s="32"/>
      <c r="F119" s="33"/>
      <c r="G119" s="35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3:28" ht="16.5" thickTop="1" thickBot="1" x14ac:dyDescent="0.3">
      <c r="C120" s="1"/>
      <c r="D120" s="31"/>
      <c r="E120" s="32"/>
      <c r="F120" s="33"/>
      <c r="G120" s="35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3:28" ht="16.5" thickTop="1" thickBot="1" x14ac:dyDescent="0.3">
      <c r="C121" s="1"/>
      <c r="D121" s="31"/>
      <c r="E121" s="32"/>
      <c r="F121" s="33"/>
      <c r="G121" s="35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3:28" ht="16.5" thickTop="1" thickBot="1" x14ac:dyDescent="0.3">
      <c r="C122" s="1"/>
      <c r="D122" s="31"/>
      <c r="E122" s="32"/>
      <c r="F122" s="33"/>
      <c r="G122" s="35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3:28" ht="16.5" thickTop="1" thickBot="1" x14ac:dyDescent="0.3">
      <c r="C123" s="1"/>
      <c r="D123" s="31"/>
      <c r="E123" s="32"/>
      <c r="F123" s="33"/>
      <c r="G123" s="35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3:28" ht="16.5" thickTop="1" thickBot="1" x14ac:dyDescent="0.3">
      <c r="C124" s="1"/>
      <c r="D124" s="31"/>
      <c r="E124" s="32"/>
      <c r="F124" s="33"/>
      <c r="G124" s="35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3:28" ht="16.5" thickTop="1" thickBot="1" x14ac:dyDescent="0.3">
      <c r="C125" s="1"/>
      <c r="D125" s="31"/>
      <c r="E125" s="32"/>
      <c r="F125" s="33"/>
      <c r="G125" s="35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3:28" ht="16.5" thickTop="1" thickBot="1" x14ac:dyDescent="0.3">
      <c r="C126" s="1"/>
      <c r="D126" s="31"/>
      <c r="E126" s="32"/>
      <c r="F126" s="33"/>
      <c r="G126" s="35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3:28" ht="16.5" thickTop="1" thickBot="1" x14ac:dyDescent="0.3">
      <c r="C127" s="1"/>
      <c r="D127" s="31"/>
      <c r="E127" s="32"/>
      <c r="F127" s="33"/>
      <c r="G127" s="35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3:28" ht="16.5" thickTop="1" thickBot="1" x14ac:dyDescent="0.3">
      <c r="C128" s="1"/>
      <c r="D128" s="31"/>
      <c r="E128" s="32"/>
      <c r="F128" s="33"/>
      <c r="G128" s="35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3:28" ht="15.75" thickTop="1" x14ac:dyDescent="0.25">
      <c r="C129" s="1"/>
      <c r="D129" s="1"/>
      <c r="E129" s="1"/>
      <c r="F129" s="27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</sheetData>
  <mergeCells count="5">
    <mergeCell ref="C1:K1"/>
    <mergeCell ref="D3:G3"/>
    <mergeCell ref="I3:J3"/>
    <mergeCell ref="I25:J28"/>
    <mergeCell ref="I5:J22"/>
  </mergeCells>
  <conditionalFormatting sqref="D5:G128">
    <cfRule type="expression" dxfId="5" priority="1">
      <formula>$B$5=ROW()</formula>
    </cfRule>
    <cfRule type="expression" dxfId="4" priority="2">
      <formula>AND($D5="",$D6="")</formula>
    </cfRule>
    <cfRule type="expression" dxfId="3" priority="3">
      <formula>AND($D5&lt;&gt;"",$D6&lt;&gt;"")</formula>
    </cfRule>
    <cfRule type="expression" dxfId="2" priority="4">
      <formula>$E5="Unread"</formula>
    </cfRule>
    <cfRule type="expression" dxfId="1" priority="5">
      <formula>AND($D5&lt;&gt;"",MOD(ROW(),2)=1)</formula>
    </cfRule>
    <cfRule type="expression" dxfId="0" priority="6">
      <formula>AND($D5&lt;&gt;"",MOD(ROW(),2)=0)</formula>
    </cfRule>
  </conditionalFormatting>
  <dataValidations count="1">
    <dataValidation type="list" allowBlank="1" showInputMessage="1" showErrorMessage="1" sqref="J4">
      <formula1>User_Name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5"/>
  <sheetViews>
    <sheetView workbookViewId="0">
      <selection activeCell="M3" sqref="M3:P7"/>
    </sheetView>
  </sheetViews>
  <sheetFormatPr defaultRowHeight="15" x14ac:dyDescent="0.25"/>
  <cols>
    <col min="1" max="1" width="17.42578125" bestFit="1" customWidth="1"/>
    <col min="2" max="2" width="7.28515625" bestFit="1" customWidth="1"/>
    <col min="3" max="3" width="10" bestFit="1" customWidth="1"/>
    <col min="4" max="4" width="14" bestFit="1" customWidth="1"/>
    <col min="6" max="6" width="22.42578125" customWidth="1"/>
    <col min="10" max="10" width="14.140625" customWidth="1"/>
    <col min="12" max="12" width="4" customWidth="1"/>
    <col min="13" max="13" width="17.42578125" bestFit="1" customWidth="1"/>
    <col min="14" max="14" width="16.140625" bestFit="1" customWidth="1"/>
    <col min="15" max="15" width="12.85546875" customWidth="1"/>
    <col min="16" max="16" width="40.85546875" customWidth="1"/>
    <col min="17" max="17" width="6.7109375" customWidth="1"/>
    <col min="18" max="18" width="21.5703125" customWidth="1"/>
    <col min="19" max="19" width="15.42578125" bestFit="1" customWidth="1"/>
    <col min="21" max="21" width="10.28515625" bestFit="1" customWidth="1"/>
    <col min="22" max="22" width="19.7109375" bestFit="1" customWidth="1"/>
    <col min="23" max="23" width="6.5703125" customWidth="1"/>
    <col min="24" max="24" width="15.42578125" bestFit="1" customWidth="1"/>
  </cols>
  <sheetData>
    <row r="1" spans="1:24" x14ac:dyDescent="0.25">
      <c r="A1" s="61" t="s">
        <v>23</v>
      </c>
      <c r="B1" s="62"/>
      <c r="C1" s="62"/>
      <c r="D1" s="62"/>
      <c r="E1" s="62"/>
      <c r="F1" s="62"/>
      <c r="G1" s="62"/>
      <c r="J1" s="36" t="s">
        <v>22</v>
      </c>
      <c r="M1" s="19" t="s">
        <v>28</v>
      </c>
      <c r="N1" s="20">
        <f>M3+UTCDiff</f>
        <v>44191.386979166666</v>
      </c>
      <c r="O1" s="59" t="s">
        <v>28</v>
      </c>
      <c r="P1" s="60"/>
      <c r="Q1" s="21"/>
      <c r="R1" s="36" t="s">
        <v>22</v>
      </c>
      <c r="S1" s="25" t="s">
        <v>31</v>
      </c>
      <c r="T1" s="26" t="str">
        <f>INDEX($E$3:$E$99999,SUMPRODUCT(MAX(ROW($C$3:$C$99999)*(S3=$C$3:$C$99999)))-2,1)</f>
        <v>Read</v>
      </c>
      <c r="U1" s="26">
        <f>X3+UTCDiff</f>
        <v>44191.445441743665</v>
      </c>
      <c r="V1" s="26" t="str">
        <f>INDEX($F$3:$F$99999,SUMPRODUCT(MAX(ROW($C$3:$C$99999)*(S3=$C$3:$C$99999)))-2,1)</f>
        <v>Great Lisa I am happy to help</v>
      </c>
      <c r="W1" s="26">
        <f>SUMPRODUCT(MAX(ROW($C$3:$C$99999)*(S3=$C$3:$C$99999)))</f>
        <v>13</v>
      </c>
      <c r="X1" s="26">
        <f>INDEX($A$3:$A$99999,SUMPRODUCT(MAX(ROW($C$3:$C$99999)*(S3=$C$3:$C$99999)))-2,1)</f>
        <v>44191.153775077</v>
      </c>
    </row>
    <row r="2" spans="1:24" x14ac:dyDescent="0.25">
      <c r="A2" s="17" t="s">
        <v>35</v>
      </c>
      <c r="B2" s="17" t="s">
        <v>8</v>
      </c>
      <c r="C2" s="17" t="s">
        <v>6</v>
      </c>
      <c r="D2" s="17" t="s">
        <v>7</v>
      </c>
      <c r="E2" s="17" t="s">
        <v>3</v>
      </c>
      <c r="F2" s="17" t="s">
        <v>1</v>
      </c>
      <c r="G2" s="17" t="s">
        <v>30</v>
      </c>
      <c r="J2" s="24" t="s">
        <v>8</v>
      </c>
      <c r="M2" s="17" t="s">
        <v>35</v>
      </c>
      <c r="N2" s="17"/>
      <c r="O2" s="17" t="s">
        <v>6</v>
      </c>
      <c r="P2" s="17" t="s">
        <v>1</v>
      </c>
      <c r="R2" s="17" t="s">
        <v>6</v>
      </c>
      <c r="S2" s="22" t="s">
        <v>6</v>
      </c>
      <c r="T2" s="22" t="s">
        <v>3</v>
      </c>
      <c r="U2" s="22" t="s">
        <v>29</v>
      </c>
      <c r="V2" s="22" t="s">
        <v>1</v>
      </c>
      <c r="W2" s="22" t="s">
        <v>30</v>
      </c>
      <c r="X2" s="17" t="s">
        <v>35</v>
      </c>
    </row>
    <row r="3" spans="1:24" s="18" customFormat="1" x14ac:dyDescent="0.25">
      <c r="A3" s="42">
        <v>44191.095312500001</v>
      </c>
      <c r="B3" s="18">
        <v>123458</v>
      </c>
      <c r="C3" s="18" t="s">
        <v>15</v>
      </c>
      <c r="D3" s="18" t="s">
        <v>10</v>
      </c>
      <c r="E3" s="18" t="s">
        <v>33</v>
      </c>
      <c r="F3" s="18" t="s">
        <v>37</v>
      </c>
      <c r="G3" s="18">
        <f>ROW()</f>
        <v>3</v>
      </c>
      <c r="J3" s="22">
        <f>'Live Chat'!B4</f>
        <v>123460</v>
      </c>
      <c r="M3" s="42">
        <v>44191.095312500001</v>
      </c>
      <c r="N3" s="37">
        <f>M3+UTCDiff</f>
        <v>44191.386979166666</v>
      </c>
      <c r="O3" s="18" t="s">
        <v>36</v>
      </c>
      <c r="P3" s="18" t="s">
        <v>48</v>
      </c>
      <c r="Q3" s="18" t="s">
        <v>27</v>
      </c>
      <c r="R3" s="22" t="str">
        <f>"&lt;&gt;"&amp;'Live Chat'!L4</f>
        <v>&lt;&gt;Fred</v>
      </c>
      <c r="S3" s="18" t="s">
        <v>46</v>
      </c>
      <c r="T3" s="18" t="str">
        <f>INDEX($E$3:$E$99999,SUMPRODUCT(MAX(ROW($C$3:$C$99999)*(S3=$C$3:$C$99999)))-2,1)</f>
        <v>Read</v>
      </c>
      <c r="U3" s="18">
        <f>X3+UTCDiff</f>
        <v>44191.445441743665</v>
      </c>
      <c r="V3" s="18" t="str">
        <f>INDEX($F$3:$F$99999,SUMPRODUCT(MAX(ROW($C$3:$C$99999)*(S3=$C$3:$C$99999)))-2,1)</f>
        <v>Great Lisa I am happy to help</v>
      </c>
      <c r="W3" s="18">
        <f>SUMPRODUCT(MAX(ROW($C$3:$C$99999)*(S3=$C$3:$C$99999)))</f>
        <v>13</v>
      </c>
      <c r="X3" s="18">
        <f>INDEX($A$3:$A$99999,SUMPRODUCT(MAX(ROW($C$3:$C$99999)*(S3=$C$3:$C$99999)))-2,1)</f>
        <v>44191.153775077</v>
      </c>
    </row>
    <row r="4" spans="1:24" s="18" customFormat="1" x14ac:dyDescent="0.25">
      <c r="A4" s="42">
        <v>44191.095682870371</v>
      </c>
      <c r="B4" s="18">
        <v>123458</v>
      </c>
      <c r="C4" s="18" t="s">
        <v>10</v>
      </c>
      <c r="D4" s="18" t="s">
        <v>15</v>
      </c>
      <c r="E4" s="18" t="s">
        <v>25</v>
      </c>
      <c r="F4" s="18" t="s">
        <v>38</v>
      </c>
      <c r="G4" s="18">
        <f>ROW()</f>
        <v>4</v>
      </c>
      <c r="M4" s="42">
        <v>44191.095682870371</v>
      </c>
      <c r="N4" s="37">
        <f>M4+UTCDiff</f>
        <v>44191.387349537035</v>
      </c>
      <c r="O4" s="18" t="s">
        <v>10</v>
      </c>
      <c r="P4" s="18" t="s">
        <v>49</v>
      </c>
      <c r="Q4" s="18" t="s">
        <v>27</v>
      </c>
      <c r="S4" s="18" t="s">
        <v>15</v>
      </c>
      <c r="T4" s="18" t="str">
        <f>INDEX($E$3:$E$99999,SUMPRODUCT(MAX(ROW($C$3:$C$99999)*(S4=$C$3:$C$99999)))-2,1)</f>
        <v>Read</v>
      </c>
      <c r="U4" s="18">
        <f>X4+UTCDiff</f>
        <v>44191.413611111064</v>
      </c>
      <c r="V4" s="18" t="str">
        <f>INDEX($F$3:$F$99999,SUMPRODUCT(MAX(ROW($C$3:$C$99999)*(S4=$C$3:$C$99999)))-2,1)</f>
        <v>Thanks so much for your help</v>
      </c>
      <c r="W4" s="18">
        <f>SUMPRODUCT(MAX(ROW($C$3:$C$99999)*(S4=$C$3:$C$99999)))</f>
        <v>9</v>
      </c>
      <c r="X4" s="18">
        <f>INDEX($A$3:$A$99999,SUMPRODUCT(MAX(ROW($C$3:$C$99999)*(S4=$C$3:$C$99999)))-2,1)</f>
        <v>44191.1219444444</v>
      </c>
    </row>
    <row r="5" spans="1:24" s="18" customFormat="1" x14ac:dyDescent="0.25">
      <c r="A5" s="42">
        <v>44191.102152777799</v>
      </c>
      <c r="B5" s="18">
        <v>123458</v>
      </c>
      <c r="C5" s="18" t="s">
        <v>15</v>
      </c>
      <c r="D5" s="18" t="s">
        <v>10</v>
      </c>
      <c r="E5" s="18" t="s">
        <v>33</v>
      </c>
      <c r="F5" s="18" t="s">
        <v>39</v>
      </c>
      <c r="G5" s="18">
        <f>ROW()</f>
        <v>5</v>
      </c>
      <c r="M5" s="42">
        <v>44191.102152777799</v>
      </c>
      <c r="N5" s="37">
        <f>M5+UTCDiff</f>
        <v>44191.393819444464</v>
      </c>
      <c r="O5" s="18" t="s">
        <v>36</v>
      </c>
      <c r="P5" s="18" t="s">
        <v>50</v>
      </c>
      <c r="Q5" s="18" t="s">
        <v>27</v>
      </c>
      <c r="S5" s="18" t="s">
        <v>36</v>
      </c>
      <c r="T5" s="18" t="str">
        <f>INDEX($E$3:$E$99999,SUMPRODUCT(MAX(ROW($C$3:$C$99999)*(S5=$C$3:$C$99999)))-2,1)</f>
        <v>Read</v>
      </c>
      <c r="U5" s="18">
        <f>X5+UTCDiff</f>
        <v>44191.396307870367</v>
      </c>
      <c r="V5" s="18" t="str">
        <f>INDEX($F$3:$F$99999,SUMPRODUCT(MAX(ROW($C$3:$C$99999)*(S5=$C$3:$C$99999)))-2,1)</f>
        <v>Thanks again</v>
      </c>
      <c r="W5" s="18">
        <f>SUMPRODUCT(MAX(ROW($C$3:$C$99999)*(S5=$C$3:$C$99999)))</f>
        <v>19</v>
      </c>
      <c r="X5" s="18">
        <f>INDEX($A$3:$A$99999,SUMPRODUCT(MAX(ROW($C$3:$C$99999)*(S5=$C$3:$C$99999)))-2,1)</f>
        <v>44191.104641203703</v>
      </c>
    </row>
    <row r="6" spans="1:24" s="18" customFormat="1" x14ac:dyDescent="0.25">
      <c r="A6" s="42">
        <v>44191.102743055555</v>
      </c>
      <c r="B6" s="18">
        <v>123458</v>
      </c>
      <c r="C6" s="18" t="s">
        <v>10</v>
      </c>
      <c r="D6" s="18" t="s">
        <v>15</v>
      </c>
      <c r="E6" s="18" t="s">
        <v>25</v>
      </c>
      <c r="F6" s="18" t="s">
        <v>40</v>
      </c>
      <c r="G6" s="18">
        <f>ROW()</f>
        <v>6</v>
      </c>
      <c r="M6" s="42">
        <v>44191.102743055555</v>
      </c>
      <c r="N6" s="37">
        <f>M6+UTCDiff</f>
        <v>44191.394409722219</v>
      </c>
      <c r="O6" s="18" t="s">
        <v>10</v>
      </c>
      <c r="P6" s="18" t="s">
        <v>51</v>
      </c>
      <c r="Q6" s="18" t="s">
        <v>27</v>
      </c>
      <c r="T6" s="18">
        <f>INDEX($E$3:$E$99999,SUMPRODUCT(MAX(ROW($C$3:$C$99999)*(S6=$C$3:$C$99999)))-2,1)</f>
        <v>0</v>
      </c>
      <c r="U6" s="18">
        <f>X6+UTCDiff</f>
        <v>0.29166666666666669</v>
      </c>
      <c r="V6" s="18">
        <f>INDEX($F$3:$F$99999,SUMPRODUCT(MAX(ROW($C$3:$C$99999)*(S6=$C$3:$C$99999)))-2,1)</f>
        <v>0</v>
      </c>
      <c r="W6" s="18">
        <f>SUMPRODUCT(MAX(ROW($C$3:$C$99999)*(S6=$C$3:$C$99999)))</f>
        <v>99999</v>
      </c>
      <c r="X6" s="18">
        <f>INDEX($A$3:$A$99999,SUMPRODUCT(MAX(ROW($C$3:$C$99999)*(S6=$C$3:$C$99999)))-2,1)</f>
        <v>0</v>
      </c>
    </row>
    <row r="7" spans="1:24" x14ac:dyDescent="0.25">
      <c r="A7" s="42">
        <v>44191.104641203703</v>
      </c>
      <c r="B7">
        <v>123458</v>
      </c>
      <c r="C7" s="18" t="s">
        <v>15</v>
      </c>
      <c r="D7" t="s">
        <v>10</v>
      </c>
      <c r="E7" s="18" t="s">
        <v>33</v>
      </c>
      <c r="F7" s="18" t="s">
        <v>41</v>
      </c>
      <c r="G7" s="18">
        <f>ROW()</f>
        <v>7</v>
      </c>
      <c r="M7" s="42">
        <v>44191.104641203703</v>
      </c>
      <c r="N7" s="38">
        <f>M7+UTCDiff</f>
        <v>44191.396307870367</v>
      </c>
      <c r="O7" s="18" t="s">
        <v>36</v>
      </c>
      <c r="P7" s="18" t="s">
        <v>47</v>
      </c>
      <c r="Q7" s="18" t="s">
        <v>27</v>
      </c>
    </row>
    <row r="8" spans="1:24" s="18" customFormat="1" x14ac:dyDescent="0.25">
      <c r="A8" s="42">
        <v>44191.10496527778</v>
      </c>
      <c r="B8" s="18">
        <v>123458</v>
      </c>
      <c r="C8" s="18" t="s">
        <v>10</v>
      </c>
      <c r="D8" s="18" t="s">
        <v>15</v>
      </c>
      <c r="E8" s="18" t="s">
        <v>25</v>
      </c>
      <c r="F8" s="18" t="s">
        <v>42</v>
      </c>
      <c r="G8" s="18">
        <f>ROW()</f>
        <v>8</v>
      </c>
      <c r="M8" s="42"/>
      <c r="N8" s="37"/>
      <c r="Q8" s="18" t="s">
        <v>27</v>
      </c>
    </row>
    <row r="9" spans="1:24" s="18" customFormat="1" x14ac:dyDescent="0.25">
      <c r="A9" s="42">
        <v>44191.1219444444</v>
      </c>
      <c r="B9" s="18">
        <v>123458</v>
      </c>
      <c r="C9" s="18" t="s">
        <v>15</v>
      </c>
      <c r="D9" t="s">
        <v>10</v>
      </c>
      <c r="E9" s="18" t="s">
        <v>33</v>
      </c>
      <c r="F9" s="18" t="s">
        <v>43</v>
      </c>
      <c r="G9" s="18">
        <f>ROW()</f>
        <v>9</v>
      </c>
      <c r="M9" s="42"/>
      <c r="N9" s="37"/>
      <c r="Q9" s="18" t="s">
        <v>27</v>
      </c>
    </row>
    <row r="10" spans="1:24" s="18" customFormat="1" x14ac:dyDescent="0.25">
      <c r="A10" s="42">
        <v>44191.127820216003</v>
      </c>
      <c r="B10" s="18">
        <f>B9+1</f>
        <v>123459</v>
      </c>
      <c r="C10" s="18" t="s">
        <v>10</v>
      </c>
      <c r="D10" s="18" t="s">
        <v>44</v>
      </c>
      <c r="E10" s="18" t="s">
        <v>33</v>
      </c>
      <c r="F10" s="18" t="s">
        <v>45</v>
      </c>
      <c r="M10" s="42"/>
      <c r="N10" s="37"/>
      <c r="Q10" s="18" t="s">
        <v>27</v>
      </c>
    </row>
    <row r="11" spans="1:24" s="18" customFormat="1" x14ac:dyDescent="0.25">
      <c r="A11" s="42">
        <v>44191.136471836297</v>
      </c>
      <c r="B11" s="18">
        <v>123459</v>
      </c>
      <c r="C11" s="18" t="s">
        <v>46</v>
      </c>
      <c r="D11" s="18" t="s">
        <v>10</v>
      </c>
      <c r="E11" s="18" t="s">
        <v>33</v>
      </c>
      <c r="F11" s="18" t="s">
        <v>47</v>
      </c>
      <c r="M11" s="42"/>
      <c r="Q11" s="18" t="s">
        <v>27</v>
      </c>
    </row>
    <row r="12" spans="1:24" s="18" customFormat="1" x14ac:dyDescent="0.25">
      <c r="A12" s="42">
        <v>44191.145123456699</v>
      </c>
      <c r="B12" s="18">
        <v>123459</v>
      </c>
      <c r="C12" s="18" t="s">
        <v>10</v>
      </c>
      <c r="D12" s="18" t="s">
        <v>44</v>
      </c>
      <c r="E12" s="18" t="s">
        <v>33</v>
      </c>
      <c r="F12" s="18" t="s">
        <v>41</v>
      </c>
      <c r="Q12" s="18" t="s">
        <v>27</v>
      </c>
    </row>
    <row r="13" spans="1:24" s="18" customFormat="1" x14ac:dyDescent="0.25">
      <c r="A13" s="42">
        <v>44191.153775077</v>
      </c>
      <c r="B13" s="18">
        <v>123459</v>
      </c>
      <c r="C13" s="18" t="s">
        <v>46</v>
      </c>
      <c r="D13" s="18" t="s">
        <v>10</v>
      </c>
      <c r="E13" s="18" t="s">
        <v>33</v>
      </c>
      <c r="F13" s="18" t="s">
        <v>42</v>
      </c>
      <c r="Q13" s="18" t="s">
        <v>27</v>
      </c>
    </row>
    <row r="14" spans="1:24" s="18" customFormat="1" x14ac:dyDescent="0.25">
      <c r="A14" s="42">
        <v>44191.162426697403</v>
      </c>
      <c r="B14" s="18">
        <v>123459</v>
      </c>
      <c r="C14" s="18" t="s">
        <v>10</v>
      </c>
      <c r="D14" s="18" t="s">
        <v>44</v>
      </c>
      <c r="E14" s="18" t="s">
        <v>33</v>
      </c>
      <c r="F14" s="18" t="s">
        <v>43</v>
      </c>
      <c r="Q14" s="18" t="s">
        <v>27</v>
      </c>
    </row>
    <row r="15" spans="1:24" x14ac:dyDescent="0.25">
      <c r="A15" s="42">
        <v>44191.095312500001</v>
      </c>
      <c r="B15" s="18">
        <v>123460</v>
      </c>
      <c r="C15" s="18" t="s">
        <v>36</v>
      </c>
      <c r="D15" s="18" t="s">
        <v>10</v>
      </c>
      <c r="E15" s="18" t="s">
        <v>33</v>
      </c>
      <c r="F15" s="18" t="s">
        <v>48</v>
      </c>
      <c r="G15" s="18"/>
      <c r="Q15" s="18" t="s">
        <v>27</v>
      </c>
    </row>
    <row r="16" spans="1:24" x14ac:dyDescent="0.25">
      <c r="A16" s="42">
        <v>44191.095682870371</v>
      </c>
      <c r="B16" s="18">
        <v>123460</v>
      </c>
      <c r="C16" s="18" t="s">
        <v>10</v>
      </c>
      <c r="D16" s="18" t="s">
        <v>36</v>
      </c>
      <c r="E16" s="18" t="s">
        <v>33</v>
      </c>
      <c r="F16" s="18" t="s">
        <v>49</v>
      </c>
      <c r="G16" s="18"/>
      <c r="Q16" s="18" t="s">
        <v>27</v>
      </c>
    </row>
    <row r="17" spans="1:17" s="18" customFormat="1" x14ac:dyDescent="0.25">
      <c r="A17" s="42">
        <v>44191.102152777799</v>
      </c>
      <c r="B17" s="18">
        <v>123460</v>
      </c>
      <c r="C17" s="18" t="s">
        <v>36</v>
      </c>
      <c r="D17" s="18" t="s">
        <v>10</v>
      </c>
      <c r="E17" s="18" t="s">
        <v>33</v>
      </c>
      <c r="F17" s="18" t="s">
        <v>50</v>
      </c>
      <c r="Q17" s="18" t="s">
        <v>27</v>
      </c>
    </row>
    <row r="18" spans="1:17" s="18" customFormat="1" x14ac:dyDescent="0.25">
      <c r="A18" s="42">
        <v>44191.102743055555</v>
      </c>
      <c r="B18" s="18">
        <v>123460</v>
      </c>
      <c r="C18" s="18" t="s">
        <v>10</v>
      </c>
      <c r="D18" s="18" t="s">
        <v>36</v>
      </c>
      <c r="E18" s="18" t="s">
        <v>33</v>
      </c>
      <c r="F18" s="18" t="s">
        <v>51</v>
      </c>
      <c r="Q18" s="18" t="s">
        <v>27</v>
      </c>
    </row>
    <row r="19" spans="1:17" s="18" customFormat="1" x14ac:dyDescent="0.25">
      <c r="A19" s="42">
        <v>44191.104641203703</v>
      </c>
      <c r="B19" s="18">
        <v>123460</v>
      </c>
      <c r="C19" s="18" t="s">
        <v>36</v>
      </c>
      <c r="D19" s="18" t="s">
        <v>10</v>
      </c>
      <c r="E19" s="18" t="s">
        <v>33</v>
      </c>
      <c r="F19" s="18" t="s">
        <v>47</v>
      </c>
      <c r="Q19" s="18" t="s">
        <v>27</v>
      </c>
    </row>
    <row r="20" spans="1:17" x14ac:dyDescent="0.25">
      <c r="A20" s="43"/>
      <c r="G20" s="18"/>
      <c r="Q20" s="18" t="s">
        <v>27</v>
      </c>
    </row>
    <row r="21" spans="1:17" x14ac:dyDescent="0.25">
      <c r="A21" s="43"/>
      <c r="G21" s="18"/>
      <c r="Q21" s="18" t="s">
        <v>27</v>
      </c>
    </row>
    <row r="22" spans="1:17" x14ac:dyDescent="0.25">
      <c r="A22" s="43"/>
      <c r="G22" s="18"/>
      <c r="Q22" s="18" t="s">
        <v>27</v>
      </c>
    </row>
    <row r="23" spans="1:17" x14ac:dyDescent="0.25">
      <c r="A23" s="43"/>
      <c r="G23" s="18"/>
      <c r="Q23" s="18" t="s">
        <v>27</v>
      </c>
    </row>
    <row r="24" spans="1:17" x14ac:dyDescent="0.25">
      <c r="A24" s="43"/>
      <c r="G24" s="18"/>
      <c r="Q24" s="18" t="s">
        <v>27</v>
      </c>
    </row>
    <row r="25" spans="1:17" x14ac:dyDescent="0.25">
      <c r="A25" s="43"/>
      <c r="G25" s="18"/>
      <c r="Q25" s="18" t="s">
        <v>27</v>
      </c>
    </row>
    <row r="26" spans="1:17" x14ac:dyDescent="0.25">
      <c r="A26" s="38"/>
      <c r="G26" s="18"/>
      <c r="Q26" s="18" t="s">
        <v>27</v>
      </c>
    </row>
    <row r="27" spans="1:17" x14ac:dyDescent="0.25">
      <c r="A27" s="38"/>
      <c r="G27" s="18"/>
      <c r="Q27" s="18" t="s">
        <v>27</v>
      </c>
    </row>
    <row r="28" spans="1:17" x14ac:dyDescent="0.25">
      <c r="A28" s="38"/>
      <c r="G28" s="18"/>
      <c r="Q28" s="18" t="s">
        <v>27</v>
      </c>
    </row>
    <row r="29" spans="1:17" x14ac:dyDescent="0.25">
      <c r="A29" s="38"/>
      <c r="G29" s="18"/>
      <c r="Q29" s="18" t="s">
        <v>27</v>
      </c>
    </row>
    <row r="30" spans="1:17" x14ac:dyDescent="0.25">
      <c r="A30" s="38"/>
      <c r="G30" s="18"/>
      <c r="Q30" s="18" t="s">
        <v>27</v>
      </c>
    </row>
    <row r="31" spans="1:17" x14ac:dyDescent="0.25">
      <c r="A31" s="38"/>
      <c r="G31" s="18"/>
      <c r="Q31" s="18" t="s">
        <v>27</v>
      </c>
    </row>
    <row r="32" spans="1:17" x14ac:dyDescent="0.25">
      <c r="A32" s="38"/>
      <c r="G32" s="18"/>
      <c r="Q32" s="18" t="s">
        <v>27</v>
      </c>
    </row>
    <row r="33" spans="1:17" x14ac:dyDescent="0.25">
      <c r="A33" s="38"/>
      <c r="G33" s="18"/>
      <c r="Q33" s="18" t="s">
        <v>27</v>
      </c>
    </row>
    <row r="34" spans="1:17" x14ac:dyDescent="0.25">
      <c r="A34" s="38"/>
      <c r="G34" s="18"/>
      <c r="Q34" s="18" t="s">
        <v>27</v>
      </c>
    </row>
    <row r="35" spans="1:17" x14ac:dyDescent="0.25">
      <c r="A35" s="38"/>
      <c r="G35" s="18"/>
      <c r="Q35" s="18" t="s">
        <v>27</v>
      </c>
    </row>
    <row r="36" spans="1:17" x14ac:dyDescent="0.25">
      <c r="A36" s="38"/>
      <c r="G36" s="18"/>
      <c r="Q36" s="18" t="s">
        <v>27</v>
      </c>
    </row>
    <row r="37" spans="1:17" x14ac:dyDescent="0.25">
      <c r="A37" s="38"/>
      <c r="G37" s="18"/>
      <c r="Q37" s="18" t="s">
        <v>27</v>
      </c>
    </row>
    <row r="38" spans="1:17" x14ac:dyDescent="0.25">
      <c r="A38" s="38"/>
      <c r="G38" s="18"/>
      <c r="Q38" s="18" t="s">
        <v>27</v>
      </c>
    </row>
    <row r="39" spans="1:17" x14ac:dyDescent="0.25">
      <c r="A39" s="38"/>
      <c r="G39" s="18"/>
      <c r="Q39" s="18" t="s">
        <v>27</v>
      </c>
    </row>
    <row r="40" spans="1:17" x14ac:dyDescent="0.25">
      <c r="A40" s="38"/>
      <c r="G40" s="18"/>
      <c r="Q40" s="18" t="s">
        <v>27</v>
      </c>
    </row>
    <row r="41" spans="1:17" x14ac:dyDescent="0.25">
      <c r="A41" s="38"/>
      <c r="Q41" s="18" t="s">
        <v>27</v>
      </c>
    </row>
    <row r="42" spans="1:17" x14ac:dyDescent="0.25">
      <c r="A42" s="38"/>
      <c r="Q42" s="18" t="s">
        <v>27</v>
      </c>
    </row>
    <row r="43" spans="1:17" x14ac:dyDescent="0.25">
      <c r="A43" s="38"/>
      <c r="Q43" s="18" t="s">
        <v>27</v>
      </c>
    </row>
    <row r="44" spans="1:17" x14ac:dyDescent="0.25">
      <c r="A44" s="38"/>
      <c r="Q44" s="18" t="s">
        <v>27</v>
      </c>
    </row>
    <row r="45" spans="1:17" x14ac:dyDescent="0.25">
      <c r="A45" s="38"/>
      <c r="Q45" s="18" t="s">
        <v>27</v>
      </c>
    </row>
    <row r="46" spans="1:17" x14ac:dyDescent="0.25">
      <c r="A46" s="38"/>
      <c r="Q46" s="18" t="s">
        <v>27</v>
      </c>
    </row>
    <row r="47" spans="1:17" x14ac:dyDescent="0.25">
      <c r="A47" s="38"/>
      <c r="Q47" s="18" t="s">
        <v>27</v>
      </c>
    </row>
    <row r="48" spans="1:17" x14ac:dyDescent="0.25">
      <c r="A48" s="38"/>
      <c r="Q48" s="18" t="s">
        <v>27</v>
      </c>
    </row>
    <row r="49" spans="1:17" x14ac:dyDescent="0.25">
      <c r="A49" s="38"/>
      <c r="Q49" s="18" t="s">
        <v>27</v>
      </c>
    </row>
    <row r="50" spans="1:17" x14ac:dyDescent="0.25">
      <c r="A50" s="38"/>
      <c r="Q50" s="18" t="s">
        <v>27</v>
      </c>
    </row>
    <row r="51" spans="1:17" x14ac:dyDescent="0.25">
      <c r="A51" s="38"/>
      <c r="Q51" s="18" t="s">
        <v>27</v>
      </c>
    </row>
    <row r="52" spans="1:17" x14ac:dyDescent="0.25">
      <c r="A52" s="38"/>
      <c r="Q52" s="18" t="s">
        <v>27</v>
      </c>
    </row>
    <row r="53" spans="1:17" x14ac:dyDescent="0.25">
      <c r="A53" s="38"/>
      <c r="Q53" s="18" t="s">
        <v>27</v>
      </c>
    </row>
    <row r="54" spans="1:17" x14ac:dyDescent="0.25">
      <c r="Q54" s="18" t="s">
        <v>27</v>
      </c>
    </row>
    <row r="55" spans="1:17" x14ac:dyDescent="0.25">
      <c r="Q55" s="18" t="s">
        <v>27</v>
      </c>
    </row>
    <row r="56" spans="1:17" x14ac:dyDescent="0.25">
      <c r="Q56" s="18" t="s">
        <v>27</v>
      </c>
    </row>
    <row r="57" spans="1:17" x14ac:dyDescent="0.25">
      <c r="Q57" s="18" t="s">
        <v>27</v>
      </c>
    </row>
    <row r="58" spans="1:17" x14ac:dyDescent="0.25">
      <c r="Q58" s="18" t="s">
        <v>27</v>
      </c>
    </row>
    <row r="59" spans="1:17" x14ac:dyDescent="0.25">
      <c r="Q59" s="18" t="s">
        <v>27</v>
      </c>
    </row>
    <row r="60" spans="1:17" x14ac:dyDescent="0.25">
      <c r="Q60" s="18" t="s">
        <v>27</v>
      </c>
    </row>
    <row r="61" spans="1:17" x14ac:dyDescent="0.25">
      <c r="Q61" s="18" t="s">
        <v>27</v>
      </c>
    </row>
    <row r="62" spans="1:17" x14ac:dyDescent="0.25">
      <c r="Q62" s="18" t="s">
        <v>27</v>
      </c>
    </row>
    <row r="63" spans="1:17" x14ac:dyDescent="0.25">
      <c r="Q63" s="18" t="s">
        <v>27</v>
      </c>
    </row>
    <row r="64" spans="1:17" x14ac:dyDescent="0.25">
      <c r="Q64" s="18" t="s">
        <v>27</v>
      </c>
    </row>
    <row r="65" spans="17:17" x14ac:dyDescent="0.25">
      <c r="Q65" s="18" t="s">
        <v>27</v>
      </c>
    </row>
  </sheetData>
  <sortState ref="M3:P7">
    <sortCondition ref="M3"/>
  </sortState>
  <mergeCells count="2">
    <mergeCell ref="O1:P1"/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>
      <selection activeCell="B3" sqref="B3"/>
    </sheetView>
  </sheetViews>
  <sheetFormatPr defaultRowHeight="15" x14ac:dyDescent="0.25"/>
  <cols>
    <col min="1" max="1" width="10.85546875" customWidth="1"/>
    <col min="2" max="2" width="11.7109375" customWidth="1"/>
    <col min="3" max="3" width="13.5703125" bestFit="1" customWidth="1"/>
  </cols>
  <sheetData>
    <row r="1" spans="1:3" x14ac:dyDescent="0.25">
      <c r="A1" t="s">
        <v>11</v>
      </c>
    </row>
    <row r="2" spans="1:3" x14ac:dyDescent="0.25">
      <c r="A2" t="s">
        <v>8</v>
      </c>
      <c r="B2" t="s">
        <v>12</v>
      </c>
      <c r="C2" t="s">
        <v>13</v>
      </c>
    </row>
    <row r="3" spans="1:3" x14ac:dyDescent="0.25">
      <c r="A3">
        <v>123456</v>
      </c>
      <c r="B3" t="s">
        <v>14</v>
      </c>
    </row>
    <row r="4" spans="1:3" x14ac:dyDescent="0.25">
      <c r="A4">
        <v>123457</v>
      </c>
      <c r="B4" t="s">
        <v>15</v>
      </c>
    </row>
    <row r="5" spans="1:3" x14ac:dyDescent="0.25">
      <c r="A5">
        <v>123458</v>
      </c>
      <c r="B5" t="s">
        <v>16</v>
      </c>
    </row>
    <row r="6" spans="1:3" x14ac:dyDescent="0.25">
      <c r="A6">
        <v>123459</v>
      </c>
      <c r="B6" t="s">
        <v>17</v>
      </c>
    </row>
    <row r="7" spans="1:3" x14ac:dyDescent="0.25">
      <c r="A7">
        <v>123460</v>
      </c>
      <c r="B7" t="s">
        <v>18</v>
      </c>
    </row>
    <row r="8" spans="1:3" x14ac:dyDescent="0.25">
      <c r="A8">
        <v>123461</v>
      </c>
      <c r="B8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Live Chat</vt:lpstr>
      <vt:lpstr>Chat Log</vt:lpstr>
      <vt:lpstr>User Log</vt:lpstr>
      <vt:lpstr>'Chat Log'!Criteria</vt:lpstr>
      <vt:lpstr>'Chat Log'!Extract</vt:lpstr>
      <vt:lpstr>UTCDiff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2020-12-21T03:22:44Z</dcterms:created>
  <dcterms:modified xsi:type="dcterms:W3CDTF">2020-12-26T03:08:24Z</dcterms:modified>
</cp:coreProperties>
</file>