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eilr\Dropbox\Excel4Freelancers\FreeTrainingVideos\Hotel Booking Application\"/>
    </mc:Choice>
  </mc:AlternateContent>
  <xr:revisionPtr revIDLastSave="0" documentId="13_ncr:1_{AB55CA0C-20C2-472D-B053-7693F52389F2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Schedule" sheetId="1" r:id="rId1"/>
    <sheet name="Bookings" sheetId="2" r:id="rId2"/>
    <sheet name="Rooms" sheetId="3" r:id="rId3"/>
    <sheet name="CalPopUp" sheetId="4" r:id="rId4"/>
  </sheets>
  <definedNames>
    <definedName name="_xlnm._FilterDatabase" localSheetId="1" hidden="1">Bookings!$A$3:$K$22</definedName>
    <definedName name="_xlnm._FilterDatabase" localSheetId="2" hidden="1">Rooms!$A$2:$B$22</definedName>
    <definedName name="Booking_CheckIn">OFFSET(Bookings!$G$3,1,,COUNTA(Bookings!$A$3:$A$99999)-1,1)</definedName>
    <definedName name="Booking_CheckOut">OFFSET(Bookings!$H$3,1,,COUNTA(Bookings!$A$3:$A$99999)-1,1)</definedName>
    <definedName name="Booking_ID">OFFSET(Bookings!$A$3,1,,COUNTA(Bookings!$A$3:$A$99999)-1,1)</definedName>
    <definedName name="Booking_Room">OFFSET(Bookings!$D$3,1,,COUNTA(Bookings!$A$3:$A$99999)-1,1)</definedName>
    <definedName name="CalMonths">CalPopUp!$A$8:$A$19</definedName>
    <definedName name="CalYear">CalPopUp!$A$2</definedName>
    <definedName name="_xlnm.Criteria" localSheetId="1">Bookings!$N$2:$R$5</definedName>
    <definedName name="_xlnm.Criteria" localSheetId="2">Rooms!$E$2:$E$3</definedName>
    <definedName name="_xlnm.Extract" localSheetId="1">Bookings!$T$2:$AA$2</definedName>
    <definedName name="_xlnm.Extract" localSheetId="2">Rooms!$G$2</definedName>
    <definedName name="RoomNumbers">OFFSET(Rooms!$A$2,1,,COUNTA(Rooms!$A$2:$A$999)-1,1)</definedName>
    <definedName name="RoomTypes">OFFSET(Rooms!$B$2,1,,COUNTA(Rooms!$A$2:$A$999)-1,1)</definedName>
    <definedName name="RoomTypesWithAll">Schedule!$BR$9:$BR$13</definedName>
    <definedName name="StartDate">Schedule!$M$6</definedName>
    <definedName name="Status">Schedule!$BS$9:$BS$13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1" l="1"/>
  <c r="N5" i="2" l="1"/>
  <c r="R5" i="2"/>
  <c r="O5" i="2"/>
  <c r="B19" i="1"/>
  <c r="B15" i="1" l="1"/>
  <c r="E3" i="3"/>
  <c r="N3" i="2"/>
  <c r="P3" i="2"/>
  <c r="O3" i="2"/>
  <c r="AJ2" i="1"/>
  <c r="B9" i="1"/>
  <c r="B8" i="1"/>
  <c r="A4" i="4" l="1"/>
  <c r="A5" i="4" s="1"/>
  <c r="B1" i="4" l="1"/>
  <c r="C1" i="4" l="1"/>
  <c r="D1" i="4" l="1"/>
  <c r="E1" i="4" l="1"/>
  <c r="F1" i="4" l="1"/>
  <c r="G1" i="4" l="1"/>
  <c r="H1" i="4" l="1"/>
  <c r="B2" i="4" l="1"/>
  <c r="C2" i="4" l="1"/>
  <c r="D2" i="4" l="1"/>
  <c r="E2" i="4" l="1"/>
  <c r="F2" i="4" l="1"/>
  <c r="G2" i="4" l="1"/>
  <c r="H2" i="4" l="1"/>
  <c r="B3" i="4" l="1"/>
  <c r="C3" i="4" l="1"/>
  <c r="D3" i="4" l="1"/>
  <c r="E3" i="4" l="1"/>
  <c r="F3" i="4" l="1"/>
  <c r="G3" i="4" l="1"/>
  <c r="H3" i="4" l="1"/>
  <c r="B4" i="4" l="1"/>
  <c r="C4" i="4" l="1"/>
  <c r="D4" i="4" l="1"/>
  <c r="E4" i="4" l="1"/>
  <c r="F4" i="4" l="1"/>
  <c r="G4" i="4" l="1"/>
  <c r="H4" i="4" l="1"/>
  <c r="B5" i="4" l="1"/>
  <c r="C5" i="4" l="1"/>
  <c r="D5" i="4" l="1"/>
  <c r="E5" i="4" l="1"/>
  <c r="F5" i="4" l="1"/>
  <c r="G5" i="4" l="1"/>
  <c r="H5" i="4" s="1"/>
  <c r="B6" i="4" s="1"/>
  <c r="C6" i="4" l="1"/>
  <c r="N4" i="2"/>
  <c r="D6" i="4" l="1"/>
  <c r="Q4" i="2"/>
  <c r="R4" i="2"/>
  <c r="E8" i="1"/>
  <c r="G8" i="1" s="1"/>
  <c r="I8" i="1" s="1"/>
  <c r="K8" i="1" s="1"/>
  <c r="M8" i="1" s="1"/>
  <c r="O8" i="1" s="1"/>
  <c r="Q8" i="1" s="1"/>
  <c r="S8" i="1" s="1"/>
  <c r="U8" i="1" s="1"/>
  <c r="W8" i="1" s="1"/>
  <c r="Y8" i="1" s="1"/>
  <c r="AA8" i="1" s="1"/>
  <c r="AC8" i="1" s="1"/>
  <c r="AE8" i="1" s="1"/>
  <c r="AG8" i="1" s="1"/>
  <c r="AI8" i="1" s="1"/>
  <c r="AK8" i="1" s="1"/>
  <c r="AM8" i="1" s="1"/>
  <c r="AO8" i="1" s="1"/>
  <c r="AQ8" i="1" s="1"/>
  <c r="AS8" i="1" s="1"/>
  <c r="AU8" i="1" s="1"/>
  <c r="AW8" i="1" s="1"/>
  <c r="AY8" i="1" s="1"/>
  <c r="BA8" i="1" s="1"/>
  <c r="BC8" i="1" s="1"/>
  <c r="BE8" i="1" s="1"/>
  <c r="BG8" i="1" s="1"/>
  <c r="BI8" i="1" s="1"/>
  <c r="BK8" i="1" s="1"/>
  <c r="BM8" i="1" s="1"/>
  <c r="E6" i="4" l="1"/>
  <c r="F6" i="4" l="1"/>
  <c r="G6" i="4" l="1"/>
  <c r="H6" i="4" l="1"/>
  <c r="A20" i="4"/>
  <c r="A6" i="4" l="1"/>
</calcChain>
</file>

<file path=xl/sharedStrings.xml><?xml version="1.0" encoding="utf-8"?>
<sst xmlns="http://schemas.openxmlformats.org/spreadsheetml/2006/main" count="320" uniqueCount="110">
  <si>
    <t xml:space="preserve"> </t>
  </si>
  <si>
    <t>Booking ID</t>
  </si>
  <si>
    <t>Room #</t>
  </si>
  <si>
    <t>Room Type</t>
  </si>
  <si>
    <t>Check In</t>
  </si>
  <si>
    <t>Check Out</t>
  </si>
  <si>
    <t>Special Requests</t>
  </si>
  <si>
    <t>Booking Date</t>
  </si>
  <si>
    <t>HOTEL BOOKING APPLICATION</t>
  </si>
  <si>
    <t>David Davidson</t>
  </si>
  <si>
    <t>Room 101</t>
  </si>
  <si>
    <t>Guest Name</t>
  </si>
  <si>
    <t>Select Room</t>
  </si>
  <si>
    <t># Guests</t>
  </si>
  <si>
    <t># Of Guests</t>
  </si>
  <si>
    <t>Show Room Type</t>
  </si>
  <si>
    <t>Status</t>
  </si>
  <si>
    <t>New Bkg</t>
  </si>
  <si>
    <t>Bkg ID</t>
  </si>
  <si>
    <t>Bkg Row</t>
  </si>
  <si>
    <t>Next ID</t>
  </si>
  <si>
    <t>Sel Shp</t>
  </si>
  <si>
    <t>Pending</t>
  </si>
  <si>
    <t>Checked Out</t>
  </si>
  <si>
    <t>Deluxe City View</t>
  </si>
  <si>
    <t>Room Types</t>
  </si>
  <si>
    <t>[All Rooms]</t>
  </si>
  <si>
    <t>Standard City View</t>
  </si>
  <si>
    <t>Executive Ocean View</t>
  </si>
  <si>
    <t>Room Database</t>
  </si>
  <si>
    <t>Notes</t>
  </si>
  <si>
    <t>Room 102</t>
  </si>
  <si>
    <t>Room 103</t>
  </si>
  <si>
    <t>Room 104</t>
  </si>
  <si>
    <t>Room 105</t>
  </si>
  <si>
    <t>Room 106</t>
  </si>
  <si>
    <t>Room 107</t>
  </si>
  <si>
    <t>Room 108</t>
  </si>
  <si>
    <t>Room 109</t>
  </si>
  <si>
    <t>Room 110</t>
  </si>
  <si>
    <t>Room 111</t>
  </si>
  <si>
    <t>Room 112</t>
  </si>
  <si>
    <t>Room 113</t>
  </si>
  <si>
    <t>Room 114</t>
  </si>
  <si>
    <t>Room 115</t>
  </si>
  <si>
    <t>Room 116</t>
  </si>
  <si>
    <t>Room 117</t>
  </si>
  <si>
    <t>Room 118</t>
  </si>
  <si>
    <t>Room 119</t>
  </si>
  <si>
    <t>Room 120</t>
  </si>
  <si>
    <t>PH Suite</t>
  </si>
  <si>
    <t>Booking Status</t>
  </si>
  <si>
    <t>Booked</t>
  </si>
  <si>
    <t>Checked In</t>
  </si>
  <si>
    <t>John James</t>
  </si>
  <si>
    <t>Rooms</t>
  </si>
  <si>
    <t>BOOKINGS DATABASE</t>
  </si>
  <si>
    <t>CRITERIA</t>
  </si>
  <si>
    <t>RESULTS</t>
  </si>
  <si>
    <t>No Show</t>
  </si>
  <si>
    <t>J2</t>
  </si>
  <si>
    <t>AE2</t>
  </si>
  <si>
    <t>AJ2</t>
  </si>
  <si>
    <t>AX2</t>
  </si>
  <si>
    <t>R4</t>
  </si>
  <si>
    <t>J4</t>
  </si>
  <si>
    <t>AH4</t>
  </si>
  <si>
    <t>BI2</t>
  </si>
  <si>
    <t>Dr. Frank Frankls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</si>
  <si>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</si>
  <si>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</si>
  <si>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</si>
  <si>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</si>
  <si>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</si>
  <si>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</si>
  <si>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</si>
  <si>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</si>
  <si>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</si>
  <si>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</si>
  <si>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</si>
  <si>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</si>
  <si>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Guest wants a quiet room</t>
  </si>
  <si>
    <t>Left Pos.</t>
  </si>
  <si>
    <t>Top Pos.</t>
  </si>
  <si>
    <t>Width</t>
  </si>
  <si>
    <t>Confilicts</t>
  </si>
  <si>
    <t>Criteria</t>
  </si>
  <si>
    <t>Resutls</t>
  </si>
  <si>
    <t>CONFLICT</t>
  </si>
  <si>
    <t>Terry Tester</t>
  </si>
  <si>
    <t>Big Party</t>
  </si>
  <si>
    <t>Lisa Leslie</t>
  </si>
  <si>
    <t>Big Bed</t>
  </si>
  <si>
    <t>David Freders</t>
  </si>
  <si>
    <t>John Manard</t>
  </si>
  <si>
    <t>Peter Parker</t>
  </si>
  <si>
    <t>Stan Smith</t>
  </si>
  <si>
    <t>Michael Meyers</t>
  </si>
  <si>
    <t>Omar Gomez</t>
  </si>
  <si>
    <t>Jack Johnson</t>
  </si>
  <si>
    <t>Mary Smith</t>
  </si>
  <si>
    <t>Rob Vos</t>
  </si>
  <si>
    <t>Test Room</t>
  </si>
  <si>
    <t>Run</t>
  </si>
  <si>
    <t>pol</t>
  </si>
  <si>
    <t>Duration</t>
  </si>
  <si>
    <t>Last room</t>
  </si>
  <si>
    <t>Extended Stay</t>
  </si>
  <si>
    <t>Another extend</t>
  </si>
  <si>
    <t>Daily wine and beer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</si>
</sst>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"/>
    <numFmt numFmtId="165" formatCode="mmmm\ yyyy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Arial Narrow"/>
      <family val="2"/>
    </font>
    <font>
      <sz val="24"/>
      <color theme="8" tint="-0.499984740745262"/>
      <name val="Arial Rounded MT Bold"/>
      <family val="2"/>
    </font>
    <font>
      <sz val="11"/>
      <color rgb="FF0070C0"/>
      <name val="Calibri"/>
      <family val="2"/>
      <scheme val="minor"/>
    </font>
    <font>
      <b/>
      <sz val="16"/>
      <color theme="8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 style="hair">
        <color theme="8" tint="-0.24994659260841701"/>
      </right>
      <top style="thin">
        <color theme="8" tint="-0.24994659260841701"/>
      </top>
      <bottom style="thin">
        <color theme="8" tint="0.39994506668294322"/>
      </bottom>
      <diagonal/>
    </border>
    <border>
      <left style="hair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0.39994506668294322"/>
      </bottom>
      <diagonal/>
    </border>
    <border>
      <left style="thin">
        <color theme="8" tint="-0.24994659260841701"/>
      </left>
      <right style="hair">
        <color theme="8" tint="-0.24994659260841701"/>
      </right>
      <top style="thin">
        <color theme="8" tint="0.39994506668294322"/>
      </top>
      <bottom style="thin">
        <color theme="8" tint="0.39994506668294322"/>
      </bottom>
      <diagonal/>
    </border>
    <border>
      <left style="hair">
        <color theme="8" tint="-0.24994659260841701"/>
      </left>
      <right style="thin">
        <color theme="8" tint="-0.24994659260841701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8" tint="-0.24994659260841701"/>
      </left>
      <right style="hair">
        <color theme="8" tint="-0.24994659260841701"/>
      </right>
      <top style="thin">
        <color theme="8" tint="0.39994506668294322"/>
      </top>
      <bottom style="thin">
        <color theme="8" tint="-0.24994659260841701"/>
      </bottom>
      <diagonal/>
    </border>
    <border>
      <left style="hair">
        <color theme="8" tint="-0.24994659260841701"/>
      </left>
      <right style="thin">
        <color theme="8" tint="-0.24994659260841701"/>
      </right>
      <top style="thin">
        <color theme="8" tint="0.39994506668294322"/>
      </top>
      <bottom style="thin">
        <color theme="8" tint="-0.24994659260841701"/>
      </bottom>
      <diagonal/>
    </border>
    <border>
      <left style="hair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hair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theme="4" tint="-0.24994659260841701"/>
      </left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 style="hair">
        <color theme="8" tint="-0.24994659260841701"/>
      </bottom>
      <diagonal/>
    </border>
    <border>
      <left style="thin">
        <color theme="8" tint="-0.24994659260841701"/>
      </left>
      <right/>
      <top style="hair">
        <color theme="8" tint="-0.24994659260841701"/>
      </top>
      <bottom style="hair">
        <color theme="8" tint="-0.24994659260841701"/>
      </bottom>
      <diagonal/>
    </border>
    <border>
      <left style="thin">
        <color theme="8" tint="-0.24994659260841701"/>
      </left>
      <right/>
      <top style="hair">
        <color theme="8" tint="-0.24994659260841701"/>
      </top>
      <bottom style="thin">
        <color theme="8" tint="-0.24994659260841701"/>
      </bottom>
      <diagonal/>
    </border>
    <border>
      <left style="thin">
        <color indexed="64"/>
      </left>
      <right/>
      <top/>
      <bottom/>
      <diagonal/>
    </border>
    <border>
      <left style="hair">
        <color theme="4" tint="-0.2499465926084170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hair">
        <color theme="4" tint="-0.24994659260841701"/>
      </left>
      <right/>
      <top style="thin">
        <color theme="4" tint="0.39997558519241921"/>
      </top>
      <bottom/>
      <diagonal/>
    </border>
    <border>
      <left style="hair">
        <color theme="4" tint="-0.2499465926084170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hair">
        <color theme="4" tint="-0.2499465926084170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7" borderId="0" xfId="0" applyFill="1" applyBorder="1"/>
    <xf numFmtId="0" fontId="3" fillId="7" borderId="2" xfId="0" applyFont="1" applyFill="1" applyBorder="1"/>
    <xf numFmtId="0" fontId="3" fillId="7" borderId="3" xfId="0" applyFont="1" applyFill="1" applyBorder="1"/>
    <xf numFmtId="0" fontId="3" fillId="7" borderId="4" xfId="0" applyFont="1" applyFill="1" applyBorder="1"/>
    <xf numFmtId="0" fontId="3" fillId="7" borderId="5" xfId="0" applyFont="1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0" xfId="0" applyFont="1" applyFill="1" applyAlignment="1"/>
    <xf numFmtId="0" fontId="0" fillId="7" borderId="0" xfId="0" applyFont="1" applyFill="1" applyBorder="1" applyAlignment="1"/>
    <xf numFmtId="0" fontId="6" fillId="7" borderId="0" xfId="0" applyFont="1" applyFill="1" applyBorder="1" applyAlignment="1"/>
    <xf numFmtId="0" fontId="0" fillId="7" borderId="0" xfId="0" applyFont="1" applyFill="1" applyAlignment="1">
      <alignment horizontal="right"/>
    </xf>
    <xf numFmtId="0" fontId="6" fillId="7" borderId="0" xfId="0" applyFont="1" applyFill="1" applyBorder="1" applyAlignment="1">
      <alignment horizontal="center" vertical="center"/>
    </xf>
    <xf numFmtId="0" fontId="0" fillId="0" borderId="14" xfId="0" applyBorder="1"/>
    <xf numFmtId="0" fontId="2" fillId="6" borderId="14" xfId="0" applyFont="1" applyFill="1" applyBorder="1" applyAlignment="1">
      <alignment horizontal="center"/>
    </xf>
    <xf numFmtId="14" fontId="0" fillId="0" borderId="0" xfId="0" applyNumberFormat="1"/>
    <xf numFmtId="0" fontId="0" fillId="0" borderId="16" xfId="0" applyBorder="1"/>
    <xf numFmtId="0" fontId="2" fillId="6" borderId="1" xfId="0" applyFont="1" applyFill="1" applyBorder="1" applyAlignment="1">
      <alignment horizontal="center"/>
    </xf>
    <xf numFmtId="0" fontId="0" fillId="9" borderId="14" xfId="0" applyFill="1" applyBorder="1" applyAlignment="1"/>
    <xf numFmtId="0" fontId="0" fillId="12" borderId="14" xfId="0" applyFill="1" applyBorder="1"/>
    <xf numFmtId="0" fontId="1" fillId="10" borderId="0" xfId="0" applyFont="1" applyFill="1" applyAlignment="1">
      <alignment horizontal="center"/>
    </xf>
    <xf numFmtId="0" fontId="0" fillId="13" borderId="14" xfId="0" applyFill="1" applyBorder="1"/>
    <xf numFmtId="0" fontId="0" fillId="14" borderId="14" xfId="0" applyFill="1" applyBorder="1"/>
    <xf numFmtId="0" fontId="0" fillId="15" borderId="14" xfId="0" applyFill="1" applyBorder="1"/>
    <xf numFmtId="0" fontId="0" fillId="16" borderId="14" xfId="0" applyFill="1" applyBorder="1"/>
    <xf numFmtId="0" fontId="0" fillId="17" borderId="14" xfId="0" applyFill="1" applyBorder="1"/>
    <xf numFmtId="0" fontId="0" fillId="3" borderId="14" xfId="0" applyFill="1" applyBorder="1" applyAlignment="1">
      <alignment horizontal="center"/>
    </xf>
    <xf numFmtId="0" fontId="0" fillId="3" borderId="15" xfId="0" applyFill="1" applyBorder="1"/>
    <xf numFmtId="0" fontId="0" fillId="13" borderId="14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0" borderId="20" xfId="0" applyFill="1" applyBorder="1" applyAlignment="1">
      <alignment horizontal="center"/>
    </xf>
    <xf numFmtId="0" fontId="2" fillId="0" borderId="0" xfId="0" applyFont="1" applyFill="1" applyBorder="1" applyAlignment="1"/>
    <xf numFmtId="0" fontId="8" fillId="0" borderId="16" xfId="0" applyFont="1" applyFill="1" applyBorder="1" applyAlignment="1">
      <alignment horizontal="center"/>
    </xf>
    <xf numFmtId="0" fontId="0" fillId="0" borderId="16" xfId="0" applyFill="1" applyBorder="1"/>
    <xf numFmtId="0" fontId="0" fillId="7" borderId="17" xfId="0" applyFill="1" applyBorder="1" applyAlignment="1">
      <alignment horizontal="right"/>
    </xf>
    <xf numFmtId="0" fontId="0" fillId="7" borderId="18" xfId="0" applyFill="1" applyBorder="1" applyAlignment="1">
      <alignment horizontal="right"/>
    </xf>
    <xf numFmtId="0" fontId="0" fillId="7" borderId="19" xfId="0" applyFill="1" applyBorder="1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21" xfId="0" applyFont="1" applyBorder="1"/>
    <xf numFmtId="0" fontId="0" fillId="19" borderId="14" xfId="0" applyFill="1" applyBorder="1"/>
    <xf numFmtId="0" fontId="0" fillId="19" borderId="14" xfId="0" applyFill="1" applyBorder="1" applyAlignment="1">
      <alignment horizontal="left"/>
    </xf>
    <xf numFmtId="0" fontId="1" fillId="20" borderId="22" xfId="0" applyFont="1" applyFill="1" applyBorder="1" applyAlignment="1">
      <alignment horizontal="center"/>
    </xf>
    <xf numFmtId="0" fontId="1" fillId="20" borderId="23" xfId="0" applyFont="1" applyFill="1" applyBorder="1" applyAlignment="1">
      <alignment horizontal="center"/>
    </xf>
    <xf numFmtId="0" fontId="0" fillId="0" borderId="22" xfId="0" applyFont="1" applyBorder="1"/>
    <xf numFmtId="0" fontId="0" fillId="0" borderId="23" xfId="0" applyFont="1" applyBorder="1"/>
    <xf numFmtId="0" fontId="0" fillId="0" borderId="24" xfId="0" applyFont="1" applyBorder="1"/>
    <xf numFmtId="0" fontId="0" fillId="21" borderId="14" xfId="0" applyFill="1" applyBorder="1"/>
    <xf numFmtId="0" fontId="0" fillId="22" borderId="0" xfId="0" applyFill="1"/>
    <xf numFmtId="0" fontId="11" fillId="4" borderId="25" xfId="0" applyFont="1" applyFill="1" applyBorder="1" applyAlignment="1">
      <alignment horizontal="center"/>
    </xf>
    <xf numFmtId="0" fontId="11" fillId="4" borderId="26" xfId="0" applyFont="1" applyFill="1" applyBorder="1" applyAlignment="1">
      <alignment horizontal="center"/>
    </xf>
    <xf numFmtId="0" fontId="11" fillId="4" borderId="27" xfId="0" applyFont="1" applyFill="1" applyBorder="1" applyAlignment="1">
      <alignment horizontal="center"/>
    </xf>
    <xf numFmtId="0" fontId="0" fillId="18" borderId="25" xfId="0" applyFont="1" applyFill="1" applyBorder="1" applyAlignment="1">
      <alignment horizontal="center"/>
    </xf>
    <xf numFmtId="22" fontId="0" fillId="18" borderId="26" xfId="0" applyNumberFormat="1" applyFont="1" applyFill="1" applyBorder="1"/>
    <xf numFmtId="0" fontId="0" fillId="18" borderId="26" xfId="0" applyFont="1" applyFill="1" applyBorder="1"/>
    <xf numFmtId="14" fontId="0" fillId="18" borderId="26" xfId="0" applyNumberFormat="1" applyFont="1" applyFill="1" applyBorder="1"/>
    <xf numFmtId="0" fontId="0" fillId="18" borderId="27" xfId="0" applyFont="1" applyFill="1" applyBorder="1"/>
    <xf numFmtId="0" fontId="0" fillId="0" borderId="25" xfId="0" applyFont="1" applyBorder="1" applyAlignment="1">
      <alignment horizontal="center"/>
    </xf>
    <xf numFmtId="22" fontId="0" fillId="0" borderId="26" xfId="0" applyNumberFormat="1" applyFont="1" applyBorder="1"/>
    <xf numFmtId="0" fontId="0" fillId="0" borderId="26" xfId="0" applyFont="1" applyBorder="1"/>
    <xf numFmtId="14" fontId="0" fillId="0" borderId="26" xfId="0" applyNumberFormat="1" applyFont="1" applyBorder="1"/>
    <xf numFmtId="0" fontId="0" fillId="0" borderId="27" xfId="0" applyFont="1" applyBorder="1"/>
    <xf numFmtId="0" fontId="0" fillId="0" borderId="25" xfId="0" applyFont="1" applyBorder="1"/>
    <xf numFmtId="0" fontId="0" fillId="18" borderId="25" xfId="0" applyFont="1" applyFill="1" applyBorder="1"/>
    <xf numFmtId="0" fontId="0" fillId="0" borderId="28" xfId="0" applyFont="1" applyBorder="1"/>
    <xf numFmtId="14" fontId="0" fillId="0" borderId="28" xfId="0" applyNumberFormat="1" applyFont="1" applyBorder="1"/>
    <xf numFmtId="0" fontId="1" fillId="20" borderId="25" xfId="0" applyFont="1" applyFill="1" applyBorder="1" applyAlignment="1">
      <alignment horizontal="center"/>
    </xf>
    <xf numFmtId="0" fontId="1" fillId="20" borderId="29" xfId="0" applyFont="1" applyFill="1" applyBorder="1" applyAlignment="1">
      <alignment horizontal="center"/>
    </xf>
    <xf numFmtId="0" fontId="1" fillId="20" borderId="30" xfId="0" applyFont="1" applyFill="1" applyBorder="1" applyAlignment="1">
      <alignment horizontal="center"/>
    </xf>
    <xf numFmtId="0" fontId="0" fillId="18" borderId="29" xfId="0" applyFont="1" applyFill="1" applyBorder="1"/>
    <xf numFmtId="0" fontId="0" fillId="18" borderId="30" xfId="0" applyFont="1" applyFill="1" applyBorder="1"/>
    <xf numFmtId="0" fontId="0" fillId="0" borderId="29" xfId="0" applyFont="1" applyBorder="1"/>
    <xf numFmtId="0" fontId="0" fillId="0" borderId="30" xfId="0" applyFont="1" applyBorder="1"/>
    <xf numFmtId="0" fontId="0" fillId="21" borderId="14" xfId="0" applyFill="1" applyBorder="1" applyAlignment="1">
      <alignment horizontal="left"/>
    </xf>
    <xf numFmtId="0" fontId="12" fillId="6" borderId="0" xfId="0" applyFont="1" applyFill="1" applyAlignment="1">
      <alignment vertical="center"/>
    </xf>
    <xf numFmtId="16" fontId="0" fillId="18" borderId="26" xfId="0" applyNumberFormat="1" applyFont="1" applyFill="1" applyBorder="1"/>
    <xf numFmtId="0" fontId="0" fillId="3" borderId="31" xfId="0" applyFill="1" applyBorder="1"/>
    <xf numFmtId="0" fontId="0" fillId="3" borderId="32" xfId="0" applyFill="1" applyBorder="1" applyAlignment="1">
      <alignment horizontal="left"/>
    </xf>
    <xf numFmtId="0" fontId="0" fillId="3" borderId="33" xfId="0" applyFill="1" applyBorder="1"/>
    <xf numFmtId="0" fontId="0" fillId="3" borderId="34" xfId="0" applyFill="1" applyBorder="1" applyAlignment="1">
      <alignment horizontal="left"/>
    </xf>
    <xf numFmtId="164" fontId="4" fillId="6" borderId="11" xfId="0" applyNumberFormat="1" applyFont="1" applyFill="1" applyBorder="1" applyAlignment="1">
      <alignment horizontal="center"/>
    </xf>
    <xf numFmtId="164" fontId="4" fillId="6" borderId="10" xfId="0" applyNumberFormat="1" applyFont="1" applyFill="1" applyBorder="1" applyAlignment="1">
      <alignment horizontal="center"/>
    </xf>
    <xf numFmtId="164" fontId="4" fillId="6" borderId="11" xfId="0" applyNumberFormat="1" applyFont="1" applyFill="1" applyBorder="1" applyAlignment="1">
      <alignment horizontal="center" vertical="center"/>
    </xf>
    <xf numFmtId="164" fontId="4" fillId="6" borderId="10" xfId="0" applyNumberFormat="1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65" fontId="7" fillId="7" borderId="0" xfId="0" applyNumberFormat="1" applyFont="1" applyFill="1" applyBorder="1" applyAlignment="1">
      <alignment horizontal="center"/>
    </xf>
    <xf numFmtId="165" fontId="7" fillId="7" borderId="13" xfId="0" applyNumberFormat="1" applyFont="1" applyFill="1" applyBorder="1" applyAlignment="1">
      <alignment horizontal="center"/>
    </xf>
    <xf numFmtId="0" fontId="9" fillId="8" borderId="8" xfId="0" applyFont="1" applyFill="1" applyBorder="1" applyAlignment="1">
      <alignment horizontal="left" vertical="center"/>
    </xf>
    <xf numFmtId="0" fontId="9" fillId="8" borderId="9" xfId="0" applyFont="1" applyFill="1" applyBorder="1" applyAlignment="1">
      <alignment horizontal="left" vertical="center"/>
    </xf>
    <xf numFmtId="0" fontId="9" fillId="8" borderId="10" xfId="0" applyFont="1" applyFill="1" applyBorder="1" applyAlignment="1">
      <alignment horizontal="left" vertical="center"/>
    </xf>
    <xf numFmtId="0" fontId="2" fillId="6" borderId="35" xfId="0" applyFont="1" applyFill="1" applyBorder="1" applyAlignment="1">
      <alignment horizontal="center"/>
    </xf>
    <xf numFmtId="0" fontId="2" fillId="6" borderId="36" xfId="0" applyFont="1" applyFill="1" applyBorder="1" applyAlignment="1">
      <alignment horizontal="center"/>
    </xf>
    <xf numFmtId="0" fontId="9" fillId="6" borderId="11" xfId="0" applyFont="1" applyFill="1" applyBorder="1" applyAlignment="1">
      <alignment horizontal="right" vertical="center"/>
    </xf>
    <xf numFmtId="0" fontId="9" fillId="6" borderId="9" xfId="0" applyFont="1" applyFill="1" applyBorder="1" applyAlignment="1">
      <alignment horizontal="right" vertical="center"/>
    </xf>
    <xf numFmtId="0" fontId="9" fillId="6" borderId="12" xfId="0" applyFont="1" applyFill="1" applyBorder="1" applyAlignment="1">
      <alignment horizontal="right" vertical="center"/>
    </xf>
    <xf numFmtId="0" fontId="9" fillId="6" borderId="11" xfId="0" applyFont="1" applyFill="1" applyBorder="1" applyAlignment="1">
      <alignment vertical="center"/>
    </xf>
    <xf numFmtId="0" fontId="9" fillId="6" borderId="9" xfId="0" applyFont="1" applyFill="1" applyBorder="1" applyAlignment="1">
      <alignment vertical="center"/>
    </xf>
    <xf numFmtId="0" fontId="9" fillId="6" borderId="12" xfId="0" applyFont="1" applyFill="1" applyBorder="1" applyAlignment="1">
      <alignment vertical="center"/>
    </xf>
    <xf numFmtId="0" fontId="9" fillId="7" borderId="11" xfId="0" applyFont="1" applyFill="1" applyBorder="1" applyAlignment="1">
      <alignment vertical="center"/>
    </xf>
    <xf numFmtId="0" fontId="9" fillId="7" borderId="9" xfId="0" applyFont="1" applyFill="1" applyBorder="1" applyAlignment="1">
      <alignment vertical="center"/>
    </xf>
    <xf numFmtId="0" fontId="9" fillId="7" borderId="12" xfId="0" applyFont="1" applyFill="1" applyBorder="1" applyAlignment="1">
      <alignment vertical="center"/>
    </xf>
    <xf numFmtId="0" fontId="9" fillId="6" borderId="11" xfId="0" applyFont="1" applyFill="1" applyBorder="1" applyAlignment="1">
      <alignment horizontal="left" vertical="center"/>
    </xf>
    <xf numFmtId="0" fontId="9" fillId="6" borderId="9" xfId="0" applyFont="1" applyFill="1" applyBorder="1" applyAlignment="1">
      <alignment horizontal="left" vertical="center"/>
    </xf>
    <xf numFmtId="0" fontId="9" fillId="6" borderId="10" xfId="0" applyFont="1" applyFill="1" applyBorder="1" applyAlignment="1">
      <alignment horizontal="left" vertical="center"/>
    </xf>
    <xf numFmtId="14" fontId="9" fillId="8" borderId="8" xfId="0" applyNumberFormat="1" applyFont="1" applyFill="1" applyBorder="1" applyAlignment="1">
      <alignment horizontal="left" vertical="center"/>
    </xf>
    <xf numFmtId="14" fontId="9" fillId="8" borderId="9" xfId="0" applyNumberFormat="1" applyFont="1" applyFill="1" applyBorder="1" applyAlignment="1">
      <alignment horizontal="left" vertical="center"/>
    </xf>
    <xf numFmtId="14" fontId="9" fillId="8" borderId="10" xfId="0" applyNumberFormat="1" applyFont="1" applyFill="1" applyBorder="1" applyAlignment="1">
      <alignment horizontal="left" vertical="center"/>
    </xf>
    <xf numFmtId="165" fontId="10" fillId="8" borderId="8" xfId="0" applyNumberFormat="1" applyFont="1" applyFill="1" applyBorder="1" applyAlignment="1">
      <alignment horizontal="left" vertical="center"/>
    </xf>
    <xf numFmtId="165" fontId="10" fillId="8" borderId="9" xfId="0" applyNumberFormat="1" applyFont="1" applyFill="1" applyBorder="1" applyAlignment="1">
      <alignment horizontal="left" vertical="center"/>
    </xf>
    <xf numFmtId="165" fontId="10" fillId="8" borderId="10" xfId="0" applyNumberFormat="1" applyFont="1" applyFill="1" applyBorder="1" applyAlignment="1">
      <alignment horizontal="left" vertical="center"/>
    </xf>
    <xf numFmtId="165" fontId="10" fillId="7" borderId="11" xfId="0" applyNumberFormat="1" applyFont="1" applyFill="1" applyBorder="1" applyAlignment="1">
      <alignment horizontal="right" vertical="center"/>
    </xf>
    <xf numFmtId="165" fontId="10" fillId="7" borderId="9" xfId="0" applyNumberFormat="1" applyFont="1" applyFill="1" applyBorder="1" applyAlignment="1">
      <alignment horizontal="right" vertical="center"/>
    </xf>
    <xf numFmtId="165" fontId="10" fillId="7" borderId="12" xfId="0" applyNumberFormat="1" applyFont="1" applyFill="1" applyBorder="1" applyAlignment="1">
      <alignment horizontal="right" vertical="center"/>
    </xf>
    <xf numFmtId="0" fontId="9" fillId="7" borderId="11" xfId="0" applyFont="1" applyFill="1" applyBorder="1" applyAlignment="1">
      <alignment horizontal="right" vertical="center"/>
    </xf>
    <xf numFmtId="0" fontId="9" fillId="7" borderId="9" xfId="0" applyFont="1" applyFill="1" applyBorder="1" applyAlignment="1">
      <alignment horizontal="right" vertical="center"/>
    </xf>
    <xf numFmtId="0" fontId="9" fillId="7" borderId="12" xfId="0" applyFont="1" applyFill="1" applyBorder="1" applyAlignment="1">
      <alignment horizontal="right" vertical="center"/>
    </xf>
    <xf numFmtId="0" fontId="2" fillId="2" borderId="15" xfId="0" applyFont="1" applyFill="1" applyBorder="1" applyAlignment="1">
      <alignment horizontal="center"/>
    </xf>
    <xf numFmtId="0" fontId="2" fillId="11" borderId="37" xfId="0" applyFont="1" applyFill="1" applyBorder="1" applyAlignment="1">
      <alignment horizontal="center"/>
    </xf>
    <xf numFmtId="0" fontId="1" fillId="10" borderId="38" xfId="0" applyFont="1" applyFill="1" applyBorder="1" applyAlignment="1">
      <alignment horizontal="center"/>
    </xf>
  </cellXfs>
  <cellStyles count="1">
    <cellStyle name="Normal" xfId="0" builtinId="0"/>
  </cellStyles>
  <dxfs count="5">
    <dxf>
      <border>
        <bottom style="thin">
          <color theme="8" tint="-0.24994659260841701"/>
        </bottom>
        <vertical/>
        <horizontal/>
      </border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color theme="8" tint="0.79998168889431442"/>
      </font>
    </dxf>
    <dxf>
      <border>
        <left/>
        <right/>
        <bottom/>
        <vertical/>
        <horizontal/>
      </border>
    </dxf>
    <dxf>
      <fill>
        <patternFill>
          <bgColor rgb="FFE5F4F7"/>
        </patternFill>
      </fill>
    </dxf>
  </dxfs>
  <tableStyles count="0" defaultTableStyle="TableStyleMedium2" defaultPivotStyle="PivotStyleLight16"/>
  <colors>
    <mruColors>
      <color rgb="FF009900"/>
      <color rgb="FF4F81BD"/>
      <color rgb="FFE5F4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hyperlink" Target="http://bit.ly/MentorshipProgram_WkbkAd" TargetMode="Externa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25</xdr:row>
      <xdr:rowOff>12700</xdr:rowOff>
    </xdr:from>
    <xdr:to>
      <xdr:col>66</xdr:col>
      <xdr:colOff>0</xdr:colOff>
      <xdr:row>26</xdr:row>
      <xdr:rowOff>12700</xdr:rowOff>
    </xdr:to>
    <xdr:sp macro="SelectBooking" textlink="">
      <xdr:nvSpPr>
        <xdr:cNvPr id="184" name="Booking18">
          <a:extLst>
            <a:ext uri="{FF2B5EF4-FFF2-40B4-BE49-F238E27FC236}">
              <a16:creationId xmlns:a16="http://schemas.microsoft.com/office/drawing/2014/main" id="{AA082DD6-653A-4831-9EDC-D139EE6F3136}"/>
            </a:ext>
          </a:extLst>
        </xdr:cNvPr>
        <xdr:cNvSpPr/>
      </xdr:nvSpPr>
      <xdr:spPr>
        <a:xfrm>
          <a:off x="2105025" y="4994275"/>
          <a:ext cx="10039350" cy="190500"/>
        </a:xfrm>
        <a:prstGeom prst="rect">
          <a:avLst/>
        </a:prstGeom>
        <a:solidFill>
          <a:srgbClr val="E26B0A">
            <a:alpha val="89804"/>
          </a:srgb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ctr"/>
        <a:lstStyle/>
        <a:p>
          <a:pPr algn="l"/>
          <a:r>
            <a:rPr lang="en-US" sz="1100"/>
            <a:t>Extended Stay</a:t>
          </a:r>
        </a:p>
      </xdr:txBody>
    </xdr:sp>
    <xdr:clientData/>
  </xdr:twoCellAnchor>
  <xdr:twoCellAnchor>
    <xdr:from>
      <xdr:col>4</xdr:col>
      <xdr:colOff>0</xdr:colOff>
      <xdr:row>21</xdr:row>
      <xdr:rowOff>12700</xdr:rowOff>
    </xdr:from>
    <xdr:to>
      <xdr:col>66</xdr:col>
      <xdr:colOff>0</xdr:colOff>
      <xdr:row>22</xdr:row>
      <xdr:rowOff>12700</xdr:rowOff>
    </xdr:to>
    <xdr:sp macro="SelectBooking" textlink="">
      <xdr:nvSpPr>
        <xdr:cNvPr id="183" name="Booking19">
          <a:extLst>
            <a:ext uri="{FF2B5EF4-FFF2-40B4-BE49-F238E27FC236}">
              <a16:creationId xmlns:a16="http://schemas.microsoft.com/office/drawing/2014/main" id="{B6E820B1-A8AB-4D44-A689-4ED1B632E50B}"/>
            </a:ext>
          </a:extLst>
        </xdr:cNvPr>
        <xdr:cNvSpPr/>
      </xdr:nvSpPr>
      <xdr:spPr>
        <a:xfrm>
          <a:off x="2105025" y="4232275"/>
          <a:ext cx="10039350" cy="190500"/>
        </a:xfrm>
        <a:prstGeom prst="rect">
          <a:avLst/>
        </a:prstGeom>
        <a:solidFill>
          <a:srgbClr val="009900">
            <a:alpha val="89804"/>
          </a:srgb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ctr"/>
        <a:lstStyle/>
        <a:p>
          <a:pPr algn="l"/>
          <a:r>
            <a:rPr lang="en-US" sz="1100"/>
            <a:t>Another extend</a:t>
          </a:r>
        </a:p>
      </xdr:txBody>
    </xdr:sp>
    <xdr:clientData/>
  </xdr:twoCellAnchor>
  <xdr:twoCellAnchor>
    <xdr:from>
      <xdr:col>17</xdr:col>
      <xdr:colOff>0</xdr:colOff>
      <xdr:row>20</xdr:row>
      <xdr:rowOff>12700</xdr:rowOff>
    </xdr:from>
    <xdr:to>
      <xdr:col>41</xdr:col>
      <xdr:colOff>0</xdr:colOff>
      <xdr:row>21</xdr:row>
      <xdr:rowOff>12700</xdr:rowOff>
    </xdr:to>
    <xdr:sp macro="SelectBooking" textlink="">
      <xdr:nvSpPr>
        <xdr:cNvPr id="182" name="Booking10">
          <a:extLst>
            <a:ext uri="{FF2B5EF4-FFF2-40B4-BE49-F238E27FC236}">
              <a16:creationId xmlns:a16="http://schemas.microsoft.com/office/drawing/2014/main" id="{A3936438-70E9-4BC4-8D74-E3F3DCF3668A}"/>
            </a:ext>
          </a:extLst>
        </xdr:cNvPr>
        <xdr:cNvSpPr/>
      </xdr:nvSpPr>
      <xdr:spPr>
        <a:xfrm>
          <a:off x="4210050" y="4041775"/>
          <a:ext cx="3886200" cy="190500"/>
        </a:xfrm>
        <a:prstGeom prst="rect">
          <a:avLst/>
        </a:prstGeom>
        <a:solidFill>
          <a:srgbClr val="FF0000">
            <a:alpha val="89804"/>
          </a:srgb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ctr"/>
        <a:lstStyle/>
        <a:p>
          <a:pPr algn="l"/>
          <a:r>
            <a:rPr lang="en-US" sz="1100"/>
            <a:t>Michael Meyers</a:t>
          </a:r>
        </a:p>
      </xdr:txBody>
    </xdr:sp>
    <xdr:clientData/>
  </xdr:twoCellAnchor>
  <xdr:twoCellAnchor>
    <xdr:from>
      <xdr:col>61</xdr:col>
      <xdr:colOff>0</xdr:colOff>
      <xdr:row>19</xdr:row>
      <xdr:rowOff>12700</xdr:rowOff>
    </xdr:from>
    <xdr:to>
      <xdr:col>66</xdr:col>
      <xdr:colOff>0</xdr:colOff>
      <xdr:row>20</xdr:row>
      <xdr:rowOff>12700</xdr:rowOff>
    </xdr:to>
    <xdr:sp macro="SelectBooking" textlink="">
      <xdr:nvSpPr>
        <xdr:cNvPr id="181" name="Booking8">
          <a:extLst>
            <a:ext uri="{FF2B5EF4-FFF2-40B4-BE49-F238E27FC236}">
              <a16:creationId xmlns:a16="http://schemas.microsoft.com/office/drawing/2014/main" id="{A98A7244-B52D-40ED-9C9C-492E5796E86E}"/>
            </a:ext>
          </a:extLst>
        </xdr:cNvPr>
        <xdr:cNvSpPr/>
      </xdr:nvSpPr>
      <xdr:spPr>
        <a:xfrm>
          <a:off x="11334750" y="3851275"/>
          <a:ext cx="809625" cy="190500"/>
        </a:xfrm>
        <a:prstGeom prst="rect">
          <a:avLst/>
        </a:prstGeom>
        <a:solidFill>
          <a:srgbClr val="0070C0">
            <a:alpha val="89804"/>
          </a:srgb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ctr"/>
        <a:lstStyle/>
        <a:p>
          <a:pPr algn="l"/>
          <a:r>
            <a:rPr lang="en-US" sz="1100"/>
            <a:t>Peter Parker</a:t>
          </a:r>
        </a:p>
      </xdr:txBody>
    </xdr:sp>
    <xdr:clientData/>
  </xdr:twoCellAnchor>
  <xdr:twoCellAnchor>
    <xdr:from>
      <xdr:col>5</xdr:col>
      <xdr:colOff>0</xdr:colOff>
      <xdr:row>17</xdr:row>
      <xdr:rowOff>12700</xdr:rowOff>
    </xdr:from>
    <xdr:to>
      <xdr:col>15</xdr:col>
      <xdr:colOff>0</xdr:colOff>
      <xdr:row>18</xdr:row>
      <xdr:rowOff>12700</xdr:rowOff>
    </xdr:to>
    <xdr:sp macro="SelectBooking" textlink="">
      <xdr:nvSpPr>
        <xdr:cNvPr id="180" name="Booking6">
          <a:extLst>
            <a:ext uri="{FF2B5EF4-FFF2-40B4-BE49-F238E27FC236}">
              <a16:creationId xmlns:a16="http://schemas.microsoft.com/office/drawing/2014/main" id="{809C2804-A713-451F-9F09-BBB8D80F87AB}"/>
            </a:ext>
          </a:extLst>
        </xdr:cNvPr>
        <xdr:cNvSpPr/>
      </xdr:nvSpPr>
      <xdr:spPr>
        <a:xfrm>
          <a:off x="2266950" y="3470275"/>
          <a:ext cx="1619250" cy="190500"/>
        </a:xfrm>
        <a:prstGeom prst="rect">
          <a:avLst/>
        </a:prstGeom>
        <a:solidFill>
          <a:srgbClr val="E26B0A">
            <a:alpha val="89804"/>
          </a:srgb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ctr"/>
        <a:lstStyle/>
        <a:p>
          <a:pPr algn="l"/>
          <a:r>
            <a:rPr lang="en-US" sz="1100"/>
            <a:t>David Freders</a:t>
          </a:r>
        </a:p>
      </xdr:txBody>
    </xdr:sp>
    <xdr:clientData/>
  </xdr:twoCellAnchor>
  <xdr:twoCellAnchor>
    <xdr:from>
      <xdr:col>51</xdr:col>
      <xdr:colOff>0</xdr:colOff>
      <xdr:row>16</xdr:row>
      <xdr:rowOff>12700</xdr:rowOff>
    </xdr:from>
    <xdr:to>
      <xdr:col>66</xdr:col>
      <xdr:colOff>0</xdr:colOff>
      <xdr:row>17</xdr:row>
      <xdr:rowOff>12700</xdr:rowOff>
    </xdr:to>
    <xdr:sp macro="SelectBooking" textlink="">
      <xdr:nvSpPr>
        <xdr:cNvPr id="179" name="Booking14">
          <a:extLst>
            <a:ext uri="{FF2B5EF4-FFF2-40B4-BE49-F238E27FC236}">
              <a16:creationId xmlns:a16="http://schemas.microsoft.com/office/drawing/2014/main" id="{D6DE7C9F-CE5F-4543-A80A-46F6E0C421CE}"/>
            </a:ext>
          </a:extLst>
        </xdr:cNvPr>
        <xdr:cNvSpPr/>
      </xdr:nvSpPr>
      <xdr:spPr>
        <a:xfrm>
          <a:off x="9715500" y="3279775"/>
          <a:ext cx="2428875" cy="190500"/>
        </a:xfrm>
        <a:prstGeom prst="rect">
          <a:avLst/>
        </a:prstGeom>
        <a:solidFill>
          <a:srgbClr val="009900">
            <a:alpha val="89804"/>
          </a:srgb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ctr"/>
        <a:lstStyle/>
        <a:p>
          <a:pPr algn="l"/>
          <a:r>
            <a:rPr lang="en-US" sz="1100"/>
            <a:t>Rob Vos</a:t>
          </a:r>
        </a:p>
      </xdr:txBody>
    </xdr:sp>
    <xdr:clientData/>
  </xdr:twoCellAnchor>
  <xdr:twoCellAnchor>
    <xdr:from>
      <xdr:col>11</xdr:col>
      <xdr:colOff>0</xdr:colOff>
      <xdr:row>16</xdr:row>
      <xdr:rowOff>12700</xdr:rowOff>
    </xdr:from>
    <xdr:to>
      <xdr:col>31</xdr:col>
      <xdr:colOff>0</xdr:colOff>
      <xdr:row>17</xdr:row>
      <xdr:rowOff>12700</xdr:rowOff>
    </xdr:to>
    <xdr:sp macro="SelectBooking" textlink="">
      <xdr:nvSpPr>
        <xdr:cNvPr id="178" name="Booking12">
          <a:extLst>
            <a:ext uri="{FF2B5EF4-FFF2-40B4-BE49-F238E27FC236}">
              <a16:creationId xmlns:a16="http://schemas.microsoft.com/office/drawing/2014/main" id="{D3F5BC00-5996-401A-99F3-B6515EE226BD}"/>
            </a:ext>
          </a:extLst>
        </xdr:cNvPr>
        <xdr:cNvSpPr/>
      </xdr:nvSpPr>
      <xdr:spPr>
        <a:xfrm>
          <a:off x="3238500" y="3279775"/>
          <a:ext cx="3238500" cy="190500"/>
        </a:xfrm>
        <a:prstGeom prst="rect">
          <a:avLst/>
        </a:prstGeom>
        <a:solidFill>
          <a:srgbClr val="009900">
            <a:alpha val="89804"/>
          </a:srgb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ctr"/>
        <a:lstStyle/>
        <a:p>
          <a:pPr algn="l"/>
          <a:r>
            <a:rPr lang="en-US" sz="1100"/>
            <a:t>Jack Johnson</a:t>
          </a:r>
        </a:p>
      </xdr:txBody>
    </xdr:sp>
    <xdr:clientData/>
  </xdr:twoCellAnchor>
  <xdr:twoCellAnchor>
    <xdr:from>
      <xdr:col>33</xdr:col>
      <xdr:colOff>0</xdr:colOff>
      <xdr:row>15</xdr:row>
      <xdr:rowOff>12700</xdr:rowOff>
    </xdr:from>
    <xdr:to>
      <xdr:col>66</xdr:col>
      <xdr:colOff>0</xdr:colOff>
      <xdr:row>16</xdr:row>
      <xdr:rowOff>12700</xdr:rowOff>
    </xdr:to>
    <xdr:sp macro="SelectBooking" textlink="">
      <xdr:nvSpPr>
        <xdr:cNvPr id="177" name="Booking11">
          <a:extLst>
            <a:ext uri="{FF2B5EF4-FFF2-40B4-BE49-F238E27FC236}">
              <a16:creationId xmlns:a16="http://schemas.microsoft.com/office/drawing/2014/main" id="{A1C77833-F1AA-424F-9D88-2012FA1A971A}"/>
            </a:ext>
          </a:extLst>
        </xdr:cNvPr>
        <xdr:cNvSpPr/>
      </xdr:nvSpPr>
      <xdr:spPr>
        <a:xfrm>
          <a:off x="6800850" y="3089275"/>
          <a:ext cx="5343525" cy="190500"/>
        </a:xfrm>
        <a:prstGeom prst="rect">
          <a:avLst/>
        </a:prstGeom>
        <a:solidFill>
          <a:srgbClr val="E26B0A">
            <a:alpha val="89804"/>
          </a:srgb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ctr"/>
        <a:lstStyle/>
        <a:p>
          <a:pPr algn="l"/>
          <a:r>
            <a:rPr lang="en-US" sz="1100"/>
            <a:t>Omar Gomez</a:t>
          </a:r>
        </a:p>
      </xdr:txBody>
    </xdr:sp>
    <xdr:clientData/>
  </xdr:twoCellAnchor>
  <xdr:twoCellAnchor>
    <xdr:from>
      <xdr:col>4</xdr:col>
      <xdr:colOff>0</xdr:colOff>
      <xdr:row>13</xdr:row>
      <xdr:rowOff>12700</xdr:rowOff>
    </xdr:from>
    <xdr:to>
      <xdr:col>25</xdr:col>
      <xdr:colOff>0</xdr:colOff>
      <xdr:row>14</xdr:row>
      <xdr:rowOff>12700</xdr:rowOff>
    </xdr:to>
    <xdr:sp macro="SelectBooking" textlink="">
      <xdr:nvSpPr>
        <xdr:cNvPr id="176" name="Booking4">
          <a:extLst>
            <a:ext uri="{FF2B5EF4-FFF2-40B4-BE49-F238E27FC236}">
              <a16:creationId xmlns:a16="http://schemas.microsoft.com/office/drawing/2014/main" id="{05852B4E-FD93-480B-88E0-EE9180356D12}"/>
            </a:ext>
          </a:extLst>
        </xdr:cNvPr>
        <xdr:cNvSpPr/>
      </xdr:nvSpPr>
      <xdr:spPr>
        <a:xfrm>
          <a:off x="2105025" y="2708275"/>
          <a:ext cx="3400425" cy="190500"/>
        </a:xfrm>
        <a:prstGeom prst="rect">
          <a:avLst/>
        </a:prstGeom>
        <a:solidFill>
          <a:srgbClr val="60497A">
            <a:alpha val="89804"/>
          </a:srgb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ctr"/>
        <a:lstStyle/>
        <a:p>
          <a:pPr algn="l"/>
          <a:r>
            <a:rPr lang="en-US" sz="1100"/>
            <a:t>John James</a:t>
          </a:r>
        </a:p>
      </xdr:txBody>
    </xdr:sp>
    <xdr:clientData/>
  </xdr:twoCellAnchor>
  <xdr:twoCellAnchor>
    <xdr:from>
      <xdr:col>49</xdr:col>
      <xdr:colOff>0</xdr:colOff>
      <xdr:row>12</xdr:row>
      <xdr:rowOff>12700</xdr:rowOff>
    </xdr:from>
    <xdr:to>
      <xdr:col>66</xdr:col>
      <xdr:colOff>0</xdr:colOff>
      <xdr:row>13</xdr:row>
      <xdr:rowOff>12700</xdr:rowOff>
    </xdr:to>
    <xdr:sp macro="SelectBooking" textlink="">
      <xdr:nvSpPr>
        <xdr:cNvPr id="175" name="Booking13">
          <a:extLst>
            <a:ext uri="{FF2B5EF4-FFF2-40B4-BE49-F238E27FC236}">
              <a16:creationId xmlns:a16="http://schemas.microsoft.com/office/drawing/2014/main" id="{646933BC-B30E-40F4-896B-0B8345E1C34D}"/>
            </a:ext>
          </a:extLst>
        </xdr:cNvPr>
        <xdr:cNvSpPr/>
      </xdr:nvSpPr>
      <xdr:spPr>
        <a:xfrm>
          <a:off x="9391650" y="2517775"/>
          <a:ext cx="2752725" cy="190500"/>
        </a:xfrm>
        <a:prstGeom prst="rect">
          <a:avLst/>
        </a:prstGeom>
        <a:solidFill>
          <a:srgbClr val="0070C0">
            <a:alpha val="89804"/>
          </a:srgb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ctr"/>
        <a:lstStyle/>
        <a:p>
          <a:pPr algn="l"/>
          <a:r>
            <a:rPr lang="en-US" sz="1100"/>
            <a:t>Mary Smith</a:t>
          </a:r>
        </a:p>
      </xdr:txBody>
    </xdr:sp>
    <xdr:clientData/>
  </xdr:twoCellAnchor>
  <xdr:twoCellAnchor>
    <xdr:from>
      <xdr:col>13</xdr:col>
      <xdr:colOff>0</xdr:colOff>
      <xdr:row>12</xdr:row>
      <xdr:rowOff>12700</xdr:rowOff>
    </xdr:from>
    <xdr:to>
      <xdr:col>35</xdr:col>
      <xdr:colOff>0</xdr:colOff>
      <xdr:row>13</xdr:row>
      <xdr:rowOff>12700</xdr:rowOff>
    </xdr:to>
    <xdr:sp macro="SelectBooking" textlink="">
      <xdr:nvSpPr>
        <xdr:cNvPr id="174" name="Booking7">
          <a:extLst>
            <a:ext uri="{FF2B5EF4-FFF2-40B4-BE49-F238E27FC236}">
              <a16:creationId xmlns:a16="http://schemas.microsoft.com/office/drawing/2014/main" id="{26A4A83B-DE48-47C3-9806-B3E49F7F10D1}"/>
            </a:ext>
          </a:extLst>
        </xdr:cNvPr>
        <xdr:cNvSpPr/>
      </xdr:nvSpPr>
      <xdr:spPr>
        <a:xfrm>
          <a:off x="3562350" y="2517775"/>
          <a:ext cx="3562350" cy="190500"/>
        </a:xfrm>
        <a:prstGeom prst="rect">
          <a:avLst/>
        </a:prstGeom>
        <a:solidFill>
          <a:srgbClr val="009900">
            <a:alpha val="89804"/>
          </a:srgb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ctr"/>
        <a:lstStyle/>
        <a:p>
          <a:pPr algn="l"/>
          <a:r>
            <a:rPr lang="en-US" sz="1100"/>
            <a:t>John Manard</a:t>
          </a:r>
        </a:p>
      </xdr:txBody>
    </xdr:sp>
    <xdr:clientData/>
  </xdr:twoCellAnchor>
  <xdr:twoCellAnchor>
    <xdr:from>
      <xdr:col>33</xdr:col>
      <xdr:colOff>0</xdr:colOff>
      <xdr:row>10</xdr:row>
      <xdr:rowOff>12700</xdr:rowOff>
    </xdr:from>
    <xdr:to>
      <xdr:col>55</xdr:col>
      <xdr:colOff>0</xdr:colOff>
      <xdr:row>11</xdr:row>
      <xdr:rowOff>12700</xdr:rowOff>
    </xdr:to>
    <xdr:sp macro="SelectBooking" textlink="">
      <xdr:nvSpPr>
        <xdr:cNvPr id="173" name="Booking9">
          <a:extLst>
            <a:ext uri="{FF2B5EF4-FFF2-40B4-BE49-F238E27FC236}">
              <a16:creationId xmlns:a16="http://schemas.microsoft.com/office/drawing/2014/main" id="{297FC0BF-D424-4F88-8C4E-9725E97DC740}"/>
            </a:ext>
          </a:extLst>
        </xdr:cNvPr>
        <xdr:cNvSpPr/>
      </xdr:nvSpPr>
      <xdr:spPr>
        <a:xfrm>
          <a:off x="6800850" y="2136775"/>
          <a:ext cx="3562350" cy="190500"/>
        </a:xfrm>
        <a:prstGeom prst="rect">
          <a:avLst/>
        </a:prstGeom>
        <a:solidFill>
          <a:srgbClr val="60497A">
            <a:alpha val="89804"/>
          </a:srgb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ctr"/>
        <a:lstStyle/>
        <a:p>
          <a:pPr algn="l"/>
          <a:r>
            <a:rPr lang="en-US" sz="1100"/>
            <a:t>Stan Smith</a:t>
          </a:r>
        </a:p>
      </xdr:txBody>
    </xdr:sp>
    <xdr:clientData/>
  </xdr:twoCellAnchor>
  <xdr:twoCellAnchor>
    <xdr:from>
      <xdr:col>5</xdr:col>
      <xdr:colOff>0</xdr:colOff>
      <xdr:row>9</xdr:row>
      <xdr:rowOff>12700</xdr:rowOff>
    </xdr:from>
    <xdr:to>
      <xdr:col>21</xdr:col>
      <xdr:colOff>0</xdr:colOff>
      <xdr:row>10</xdr:row>
      <xdr:rowOff>12700</xdr:rowOff>
    </xdr:to>
    <xdr:sp macro="SelectBooking" textlink="">
      <xdr:nvSpPr>
        <xdr:cNvPr id="172" name="Booking5">
          <a:extLst>
            <a:ext uri="{FF2B5EF4-FFF2-40B4-BE49-F238E27FC236}">
              <a16:creationId xmlns:a16="http://schemas.microsoft.com/office/drawing/2014/main" id="{62692E72-5882-4AEE-9B77-67C40A93AB65}"/>
            </a:ext>
          </a:extLst>
        </xdr:cNvPr>
        <xdr:cNvSpPr/>
      </xdr:nvSpPr>
      <xdr:spPr>
        <a:xfrm>
          <a:off x="2266950" y="1946275"/>
          <a:ext cx="2590800" cy="190500"/>
        </a:xfrm>
        <a:prstGeom prst="rect">
          <a:avLst/>
        </a:prstGeom>
        <a:solidFill>
          <a:srgbClr val="E26B0A">
            <a:alpha val="89804"/>
          </a:srgb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ctr"/>
        <a:lstStyle/>
        <a:p>
          <a:pPr algn="l"/>
          <a:r>
            <a:rPr lang="en-US" sz="1100"/>
            <a:t>Lisa Leslie</a:t>
          </a:r>
        </a:p>
      </xdr:txBody>
    </xdr:sp>
    <xdr:clientData/>
  </xdr:twoCellAnchor>
  <xdr:twoCellAnchor>
    <xdr:from>
      <xdr:col>23</xdr:col>
      <xdr:colOff>0</xdr:colOff>
      <xdr:row>9</xdr:row>
      <xdr:rowOff>12700</xdr:rowOff>
    </xdr:from>
    <xdr:to>
      <xdr:col>49</xdr:col>
      <xdr:colOff>0</xdr:colOff>
      <xdr:row>10</xdr:row>
      <xdr:rowOff>12700</xdr:rowOff>
    </xdr:to>
    <xdr:sp macro="SelectBooking" textlink="">
      <xdr:nvSpPr>
        <xdr:cNvPr id="171" name="Booking3">
          <a:extLst>
            <a:ext uri="{FF2B5EF4-FFF2-40B4-BE49-F238E27FC236}">
              <a16:creationId xmlns:a16="http://schemas.microsoft.com/office/drawing/2014/main" id="{38801BE4-9DC9-4292-837D-97D91B3CA7AA}"/>
            </a:ext>
          </a:extLst>
        </xdr:cNvPr>
        <xdr:cNvSpPr/>
      </xdr:nvSpPr>
      <xdr:spPr>
        <a:xfrm>
          <a:off x="5181600" y="1946275"/>
          <a:ext cx="4210050" cy="190500"/>
        </a:xfrm>
        <a:prstGeom prst="rect">
          <a:avLst/>
        </a:prstGeom>
        <a:solidFill>
          <a:srgbClr val="E26B0A">
            <a:alpha val="89804"/>
          </a:srgb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ctr"/>
        <a:lstStyle/>
        <a:p>
          <a:pPr algn="l"/>
          <a:r>
            <a:rPr lang="en-US" sz="1100"/>
            <a:t>Dr. Frank Frankls</a:t>
          </a:r>
        </a:p>
      </xdr:txBody>
    </xdr:sp>
    <xdr:clientData/>
  </xdr:twoCellAnchor>
  <xdr:twoCellAnchor>
    <xdr:from>
      <xdr:col>53</xdr:col>
      <xdr:colOff>0</xdr:colOff>
      <xdr:row>8</xdr:row>
      <xdr:rowOff>12700</xdr:rowOff>
    </xdr:from>
    <xdr:to>
      <xdr:col>66</xdr:col>
      <xdr:colOff>0</xdr:colOff>
      <xdr:row>9</xdr:row>
      <xdr:rowOff>12700</xdr:rowOff>
    </xdr:to>
    <xdr:sp macro="SelectBooking" textlink="">
      <xdr:nvSpPr>
        <xdr:cNvPr id="170" name="Booking15">
          <a:extLst>
            <a:ext uri="{FF2B5EF4-FFF2-40B4-BE49-F238E27FC236}">
              <a16:creationId xmlns:a16="http://schemas.microsoft.com/office/drawing/2014/main" id="{E857DEC7-EA13-4CA1-A7BE-259725AB6907}"/>
            </a:ext>
          </a:extLst>
        </xdr:cNvPr>
        <xdr:cNvSpPr/>
      </xdr:nvSpPr>
      <xdr:spPr>
        <a:xfrm>
          <a:off x="10039350" y="1755775"/>
          <a:ext cx="2105025" cy="190500"/>
        </a:xfrm>
        <a:prstGeom prst="rect">
          <a:avLst/>
        </a:prstGeom>
        <a:solidFill>
          <a:srgbClr val="009900">
            <a:alpha val="89804"/>
          </a:srgb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ctr"/>
        <a:lstStyle/>
        <a:p>
          <a:pPr algn="l"/>
          <a:r>
            <a:rPr lang="en-US" sz="1100"/>
            <a:t>Test Room</a:t>
          </a:r>
        </a:p>
      </xdr:txBody>
    </xdr:sp>
    <xdr:clientData/>
  </xdr:twoCellAnchor>
  <xdr:twoCellAnchor>
    <xdr:from>
      <xdr:col>23</xdr:col>
      <xdr:colOff>0</xdr:colOff>
      <xdr:row>8</xdr:row>
      <xdr:rowOff>12700</xdr:rowOff>
    </xdr:from>
    <xdr:to>
      <xdr:col>41</xdr:col>
      <xdr:colOff>0</xdr:colOff>
      <xdr:row>9</xdr:row>
      <xdr:rowOff>12700</xdr:rowOff>
    </xdr:to>
    <xdr:sp macro="SelectBooking" textlink="">
      <xdr:nvSpPr>
        <xdr:cNvPr id="169" name="Booking2">
          <a:extLst>
            <a:ext uri="{FF2B5EF4-FFF2-40B4-BE49-F238E27FC236}">
              <a16:creationId xmlns:a16="http://schemas.microsoft.com/office/drawing/2014/main" id="{01FE9557-1BC2-4696-9BC9-3B79E422D155}"/>
            </a:ext>
          </a:extLst>
        </xdr:cNvPr>
        <xdr:cNvSpPr/>
      </xdr:nvSpPr>
      <xdr:spPr>
        <a:xfrm>
          <a:off x="5181600" y="1755775"/>
          <a:ext cx="2914650" cy="190500"/>
        </a:xfrm>
        <a:prstGeom prst="rect">
          <a:avLst/>
        </a:prstGeom>
        <a:solidFill>
          <a:srgbClr val="009900">
            <a:alpha val="89804"/>
          </a:srgb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ctr"/>
        <a:lstStyle/>
        <a:p>
          <a:pPr algn="l"/>
          <a:r>
            <a:rPr lang="en-US" sz="1100"/>
            <a:t>Terry Tester</a:t>
          </a:r>
        </a:p>
      </xdr:txBody>
    </xdr:sp>
    <xdr:clientData/>
  </xdr:twoCellAnchor>
  <xdr:twoCellAnchor>
    <xdr:from>
      <xdr:col>0</xdr:col>
      <xdr:colOff>247650</xdr:colOff>
      <xdr:row>15</xdr:row>
      <xdr:rowOff>123825</xdr:rowOff>
    </xdr:from>
    <xdr:to>
      <xdr:col>1</xdr:col>
      <xdr:colOff>295275</xdr:colOff>
      <xdr:row>16</xdr:row>
      <xdr:rowOff>133350</xdr:rowOff>
    </xdr:to>
    <xdr:sp macro="SelectBooking" textlink="">
      <xdr:nvSpPr>
        <xdr:cNvPr id="35" name="SampleShp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247650" y="3200400"/>
          <a:ext cx="666750" cy="200025"/>
        </a:xfrm>
        <a:prstGeom prst="rect">
          <a:avLst/>
        </a:prstGeom>
        <a:solidFill>
          <a:srgbClr val="4F81BD">
            <a:alpha val="89804"/>
          </a:srgb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ctr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533400</xdr:colOff>
      <xdr:row>0</xdr:row>
      <xdr:rowOff>0</xdr:rowOff>
    </xdr:from>
    <xdr:to>
      <xdr:col>3</xdr:col>
      <xdr:colOff>704850</xdr:colOff>
      <xdr:row>3</xdr:row>
      <xdr:rowOff>125648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5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5375" y="0"/>
          <a:ext cx="876300" cy="944798"/>
        </a:xfrm>
        <a:prstGeom prst="rect">
          <a:avLst/>
        </a:prstGeom>
      </xdr:spPr>
    </xdr:pic>
    <xdr:clientData/>
  </xdr:twoCellAnchor>
  <xdr:twoCellAnchor editAs="oneCell">
    <xdr:from>
      <xdr:col>7</xdr:col>
      <xdr:colOff>142874</xdr:colOff>
      <xdr:row>5</xdr:row>
      <xdr:rowOff>0</xdr:rowOff>
    </xdr:from>
    <xdr:to>
      <xdr:col>10</xdr:col>
      <xdr:colOff>152400</xdr:colOff>
      <xdr:row>6</xdr:row>
      <xdr:rowOff>0</xdr:rowOff>
    </xdr:to>
    <xdr:sp macro="[0]!NextSchedMonth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52724" y="1162050"/>
          <a:ext cx="495301" cy="274320"/>
        </a:xfrm>
        <a:prstGeom prst="rightArrow">
          <a:avLst>
            <a:gd name="adj1" fmla="val 77027"/>
            <a:gd name="adj2" fmla="val 50000"/>
          </a:avLst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/>
            <a:t>Next</a:t>
          </a:r>
        </a:p>
      </xdr:txBody>
    </xdr:sp>
    <xdr:clientData/>
  </xdr:twoCellAnchor>
  <xdr:twoCellAnchor editAs="oneCell">
    <xdr:from>
      <xdr:col>4</xdr:col>
      <xdr:colOff>47626</xdr:colOff>
      <xdr:row>5</xdr:row>
      <xdr:rowOff>0</xdr:rowOff>
    </xdr:from>
    <xdr:to>
      <xdr:col>7</xdr:col>
      <xdr:colOff>55627</xdr:colOff>
      <xdr:row>6</xdr:row>
      <xdr:rowOff>0</xdr:rowOff>
    </xdr:to>
    <xdr:sp macro="[0]!PrevSchedMonth" textlink="">
      <xdr:nvSpPr>
        <xdr:cNvPr id="4" name="Right Arrow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flipH="1">
          <a:off x="2200276" y="1162050"/>
          <a:ext cx="493776" cy="274320"/>
        </a:xfrm>
        <a:prstGeom prst="rightArrow">
          <a:avLst>
            <a:gd name="adj1" fmla="val 77027"/>
            <a:gd name="adj2" fmla="val 50000"/>
          </a:avLst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/>
            <a:t>Prev.</a:t>
          </a:r>
        </a:p>
      </xdr:txBody>
    </xdr:sp>
    <xdr:clientData/>
  </xdr:twoCellAnchor>
  <xdr:twoCellAnchor>
    <xdr:from>
      <xdr:col>50</xdr:col>
      <xdr:colOff>121442</xdr:colOff>
      <xdr:row>4</xdr:row>
      <xdr:rowOff>84963</xdr:rowOff>
    </xdr:from>
    <xdr:to>
      <xdr:col>58</xdr:col>
      <xdr:colOff>39800</xdr:colOff>
      <xdr:row>5</xdr:row>
      <xdr:rowOff>227457</xdr:rowOff>
    </xdr:to>
    <xdr:grpSp>
      <xdr:nvGrpSpPr>
        <xdr:cNvPr id="34" name="NewBkgGrp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pSpPr/>
      </xdr:nvGrpSpPr>
      <xdr:grpSpPr>
        <a:xfrm>
          <a:off x="9675017" y="1151763"/>
          <a:ext cx="1213758" cy="237744"/>
          <a:chOff x="9004695" y="2072117"/>
          <a:chExt cx="1160690" cy="237744"/>
        </a:xfrm>
      </xdr:grpSpPr>
      <xdr:sp macro="[0]!Booking_SaveUpdate" textlink="">
        <xdr:nvSpPr>
          <xdr:cNvPr id="13" name="Rectangle 12" hidden="1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004695" y="2072117"/>
            <a:ext cx="1160690" cy="237744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aseline="0"/>
              <a:t>Save Booking</a:t>
            </a:r>
            <a:endParaRPr lang="en-US" sz="1100"/>
          </a:p>
        </xdr:txBody>
      </xdr:sp>
      <xdr:pic macro="[0]!Booking_SaveUpdate">
        <xdr:nvPicPr>
          <xdr:cNvPr id="31" name="Picture 30" hidden="1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83278" y="2099549"/>
            <a:ext cx="185715" cy="182880"/>
          </a:xfrm>
          <a:prstGeom prst="rect">
            <a:avLst/>
          </a:prstGeom>
        </xdr:spPr>
      </xdr:pic>
    </xdr:grpSp>
    <xdr:clientData/>
  </xdr:twoCellAnchor>
  <xdr:twoCellAnchor>
    <xdr:from>
      <xdr:col>46</xdr:col>
      <xdr:colOff>9523</xdr:colOff>
      <xdr:row>5</xdr:row>
      <xdr:rowOff>18288</xdr:rowOff>
    </xdr:from>
    <xdr:to>
      <xdr:col>64</xdr:col>
      <xdr:colOff>133349</xdr:colOff>
      <xdr:row>5</xdr:row>
      <xdr:rowOff>256032</xdr:rowOff>
    </xdr:to>
    <xdr:grpSp>
      <xdr:nvGrpSpPr>
        <xdr:cNvPr id="33" name="ExistBkgGrp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8915398" y="1180338"/>
          <a:ext cx="3038476" cy="237744"/>
          <a:chOff x="8590357" y="1185101"/>
          <a:chExt cx="2912270" cy="237744"/>
        </a:xfrm>
      </xdr:grpSpPr>
      <xdr:sp macro="[0]!Booking_Save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9867500" y="1185101"/>
            <a:ext cx="764350" cy="237744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Update</a:t>
            </a:r>
          </a:p>
        </xdr:txBody>
      </xdr:sp>
      <xdr:sp macro="[0]!Booking_Delete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10757628" y="1185101"/>
            <a:ext cx="744999" cy="237744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Delete</a:t>
            </a:r>
            <a:r>
              <a:rPr lang="en-US" sz="1100" baseline="0"/>
              <a:t> </a:t>
            </a:r>
            <a:endParaRPr lang="en-US" sz="1100"/>
          </a:p>
        </xdr:txBody>
      </xdr:sp>
      <xdr:sp macro="[0]!Booking_N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8590357" y="1185101"/>
            <a:ext cx="1161038" cy="237744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aseline="0"/>
              <a:t>New Booking</a:t>
            </a:r>
            <a:endParaRPr lang="en-US" sz="1100"/>
          </a:p>
        </xdr:txBody>
      </xdr:sp>
      <xdr:pic macro="[0]!Booking_N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77437" y="1212533"/>
            <a:ext cx="185766" cy="182880"/>
          </a:xfrm>
          <a:prstGeom prst="rect">
            <a:avLst/>
          </a:prstGeom>
        </xdr:spPr>
      </xdr:pic>
      <xdr:pic macro="[0]!Booking_Delete"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89017" y="1212533"/>
            <a:ext cx="185766" cy="182880"/>
          </a:xfrm>
          <a:prstGeom prst="rect">
            <a:avLst/>
          </a:prstGeom>
        </xdr:spPr>
      </xdr:pic>
      <xdr:pic macro="[0]!Booking_SaveUpdate">
        <xdr:nvPicPr>
          <xdr:cNvPr id="32" name="Pictur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0288" y="1212533"/>
            <a:ext cx="185715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66</xdr:col>
      <xdr:colOff>438150</xdr:colOff>
      <xdr:row>14</xdr:row>
      <xdr:rowOff>57150</xdr:rowOff>
    </xdr:from>
    <xdr:to>
      <xdr:col>72</xdr:col>
      <xdr:colOff>227318</xdr:colOff>
      <xdr:row>33</xdr:row>
      <xdr:rowOff>18433</xdr:rowOff>
    </xdr:to>
    <xdr:grpSp>
      <xdr:nvGrpSpPr>
        <xdr:cNvPr id="165" name="grpAdvert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GrpSpPr/>
      </xdr:nvGrpSpPr>
      <xdr:grpSpPr>
        <a:xfrm>
          <a:off x="12582525" y="2943225"/>
          <a:ext cx="6008993" cy="3580783"/>
          <a:chOff x="2590800" y="904875"/>
          <a:chExt cx="6216058" cy="2710281"/>
        </a:xfrm>
      </xdr:grpSpPr>
      <xdr:pic>
        <xdr:nvPicPr>
          <xdr:cNvPr id="166" name="Picture 16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000-0000A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90800" y="973559"/>
            <a:ext cx="5713561" cy="2641597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/>
        </xdr:spPr>
      </xdr:pic>
      <xdr:sp macro="" textlink="">
        <xdr:nvSpPr>
          <xdr:cNvPr id="167" name="Explosion 1 6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000-0000A7000000}"/>
              </a:ext>
            </a:extLst>
          </xdr:cNvPr>
          <xdr:cNvSpPr/>
        </xdr:nvSpPr>
        <xdr:spPr>
          <a:xfrm>
            <a:off x="7207338" y="904875"/>
            <a:ext cx="1599520" cy="1233609"/>
          </a:xfrm>
          <a:prstGeom prst="irregularSeal1">
            <a:avLst/>
          </a:prstGeom>
          <a:gradFill flip="none" rotWithShape="1">
            <a:gsLst>
              <a:gs pos="100000">
                <a:srgbClr val="1FFE0E">
                  <a:shade val="30000"/>
                  <a:satMod val="115000"/>
                </a:srgbClr>
              </a:gs>
              <a:gs pos="0">
                <a:srgbClr val="1FFE0E"/>
              </a:gs>
              <a:gs pos="50000">
                <a:srgbClr val="1FFE0E">
                  <a:shade val="67500"/>
                  <a:satMod val="115000"/>
                </a:srgbClr>
              </a:gs>
            </a:gsLst>
            <a:path path="circle">
              <a:fillToRect l="50000" t="50000" r="50000" b="50000"/>
            </a:path>
            <a:tileRect/>
          </a:gradFill>
          <a:ln>
            <a:solidFill>
              <a:srgbClr val="1D8145"/>
            </a:solidFill>
          </a:ln>
          <a:effectLst>
            <a:outerShdw blurRad="101600" dist="762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  <a:latin typeface="+mj-lt"/>
              </a:rPr>
              <a:t>CLICK</a:t>
            </a:r>
            <a:r>
              <a:rPr lang="en-US" sz="1000" b="1" baseline="0">
                <a:solidFill>
                  <a:sysClr val="windowText" lastClr="000000"/>
                </a:solidFill>
                <a:latin typeface="+mj-lt"/>
              </a:rPr>
              <a:t> HERE TO LEARN MORE</a:t>
            </a:r>
            <a:endParaRPr lang="en-US" sz="1000" b="1">
              <a:solidFill>
                <a:sysClr val="windowText" lastClr="000000"/>
              </a:solidFill>
              <a:latin typeface="+mj-lt"/>
            </a:endParaRPr>
          </a:p>
        </xdr:txBody>
      </xdr:sp>
      <xdr:sp macro="" textlink="">
        <xdr:nvSpPr>
          <xdr:cNvPr id="168" name="Rounded Rectangle 6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000-0000A8000000}"/>
              </a:ext>
            </a:extLst>
          </xdr:cNvPr>
          <xdr:cNvSpPr/>
        </xdr:nvSpPr>
        <xdr:spPr>
          <a:xfrm>
            <a:off x="2609631" y="2780451"/>
            <a:ext cx="3832789" cy="823722"/>
          </a:xfrm>
          <a:prstGeom prst="roundRect">
            <a:avLst>
              <a:gd name="adj" fmla="val 24510"/>
            </a:avLst>
          </a:prstGeom>
          <a:solidFill>
            <a:srgbClr val="303C18">
              <a:alpha val="52941"/>
            </a:srgb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18288" bIns="0" rtlCol="0" anchor="ctr"/>
          <a:lstStyle/>
          <a:p>
            <a:pPr algn="ctr"/>
            <a:r>
              <a:rPr lang="en-US" sz="1400">
                <a:latin typeface="+mn-lt"/>
              </a:rPr>
              <a:t>Learn How To  Define, Design, </a:t>
            </a:r>
            <a:r>
              <a:rPr lang="en-US" sz="1400" baseline="0">
                <a:latin typeface="+mn-lt"/>
              </a:rPr>
              <a:t> Develop &amp; Deploy Your Own Excel Applications </a:t>
            </a:r>
            <a:r>
              <a:rPr lang="en-US" sz="1400" b="1" u="sng" baseline="0">
                <a:latin typeface="+mn-lt"/>
              </a:rPr>
              <a:t>and never be fired from another job again.</a:t>
            </a:r>
            <a:endParaRPr lang="en-US" sz="1400" b="1" u="sng">
              <a:latin typeface="+mn-lt"/>
            </a:endParaRPr>
          </a:p>
        </xdr:txBody>
      </xdr:sp>
    </xdr:grpSp>
    <xdr:clientData/>
  </xdr:twoCellAnchor>
  <xdr:twoCellAnchor editAs="oneCell">
    <xdr:from>
      <xdr:col>60</xdr:col>
      <xdr:colOff>0</xdr:colOff>
      <xdr:row>2</xdr:row>
      <xdr:rowOff>0</xdr:rowOff>
    </xdr:from>
    <xdr:to>
      <xdr:col>67</xdr:col>
      <xdr:colOff>676275</xdr:colOff>
      <xdr:row>14</xdr:row>
      <xdr:rowOff>43391</xdr:rowOff>
    </xdr:to>
    <xdr:grpSp>
      <xdr:nvGrpSpPr>
        <xdr:cNvPr id="78" name="Calendar" hidden="1">
          <a:extLst>
            <a:ext uri="{FF2B5EF4-FFF2-40B4-BE49-F238E27FC236}">
              <a16:creationId xmlns:a16="http://schemas.microsoft.com/office/drawing/2014/main" id="{987077F1-9E9E-4974-9E42-561782B5B7CA}"/>
            </a:ext>
          </a:extLst>
        </xdr:cNvPr>
        <xdr:cNvGrpSpPr/>
      </xdr:nvGrpSpPr>
      <xdr:grpSpPr>
        <a:xfrm>
          <a:off x="11172825" y="723900"/>
          <a:ext cx="2257425" cy="2205566"/>
          <a:chOff x="11172825" y="723900"/>
          <a:chExt cx="2257425" cy="2205566"/>
        </a:xfrm>
      </xdr:grpSpPr>
      <xdr:sp macro="" textlink="">
        <xdr:nvSpPr>
          <xdr:cNvPr id="82" name="Settings" hidden="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SpPr/>
        </xdr:nvSpPr>
        <xdr:spPr>
          <a:xfrm>
            <a:off x="11174860" y="2695825"/>
            <a:ext cx="2255390" cy="233641"/>
          </a:xfrm>
          <a:prstGeom prst="rect">
            <a:avLst/>
          </a:prstGeom>
          <a:solidFill>
            <a:srgbClr val="B6DDE8"/>
          </a:solidFill>
          <a:ln w="6350"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83" name="CalBack" hidden="1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SpPr/>
        </xdr:nvSpPr>
        <xdr:spPr>
          <a:xfrm>
            <a:off x="11172825" y="723900"/>
            <a:ext cx="2255390" cy="1962581"/>
          </a:xfrm>
          <a:prstGeom prst="rect">
            <a:avLst/>
          </a:prstGeom>
          <a:solidFill>
            <a:srgbClr val="B6DDE8"/>
          </a:solidFill>
          <a:ln w="6350"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CalPopUp!$A$5">
        <xdr:nvSpPr>
          <xdr:cNvPr id="84" name="MonthYear" hidden="1">
            <a:extLst>
              <a:ext uri="{FF2B5EF4-FFF2-40B4-BE49-F238E27FC236}">
                <a16:creationId xmlns:a16="http://schemas.microsoft.com/office/drawing/2014/main" id="{00000000-0008-0000-0000-000054000000}"/>
              </a:ext>
            </a:extLst>
          </xdr:cNvPr>
          <xdr:cNvSpPr txBox="1"/>
        </xdr:nvSpPr>
        <xdr:spPr>
          <a:xfrm>
            <a:off x="11482620" y="920629"/>
            <a:ext cx="1639079" cy="1869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/>
          <a:lstStyle/>
          <a:p>
            <a:pPr algn="ctr"/>
            <a:fld id="{F5DEC8D6-9D45-4135-9A43-8ABB8253C90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August 2020</a:t>
            </a:fld>
            <a:endParaRPr lang="en-US" sz="1100" b="1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DayBtn40" textlink="CalPopUp!$F$6">
        <xdr:nvSpPr>
          <xdr:cNvPr id="85" name="40Day" hidden="1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SpPr/>
        </xdr:nvSpPr>
        <xdr:spPr>
          <a:xfrm>
            <a:off x="12445049" y="2281941"/>
            <a:ext cx="283368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8D5660D1-E1D2-47B5-BCCB-770834139004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41" textlink="CalPopUp!$G$6">
        <xdr:nvSpPr>
          <xdr:cNvPr id="86" name="41Day" hidden="1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SpPr/>
        </xdr:nvSpPr>
        <xdr:spPr>
          <a:xfrm>
            <a:off x="12733303" y="2281941"/>
            <a:ext cx="27744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5E2F5CA-DFA2-4E55-8776-08D34009447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" textlink="">
        <xdr:nvSpPr>
          <xdr:cNvPr id="87" name="CalBorder" hidden="1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SpPr/>
        </xdr:nvSpPr>
        <xdr:spPr>
          <a:xfrm>
            <a:off x="11286873" y="891825"/>
            <a:ext cx="2030571" cy="1601694"/>
          </a:xfrm>
          <a:prstGeom prst="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DayBtn39" textlink="CalPopUp!$E$6">
        <xdr:nvSpPr>
          <xdr:cNvPr id="88" name="39Day" hidden="1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SpPr/>
        </xdr:nvSpPr>
        <xdr:spPr>
          <a:xfrm>
            <a:off x="12161380" y="2281941"/>
            <a:ext cx="27744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64944BC-E47E-4F67-993C-DBA5E1EE40A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8" textlink="CalPopUp!$D$6">
        <xdr:nvSpPr>
          <xdr:cNvPr id="89" name="38Day" hidden="1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SpPr/>
        </xdr:nvSpPr>
        <xdr:spPr>
          <a:xfrm>
            <a:off x="11875012" y="2281941"/>
            <a:ext cx="27954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0C33D8A8-EA5D-442F-BB00-2CA93776D79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42" textlink="CalPopUp!$H$6">
        <xdr:nvSpPr>
          <xdr:cNvPr id="90" name="42Day" hidden="1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SpPr/>
        </xdr:nvSpPr>
        <xdr:spPr>
          <a:xfrm>
            <a:off x="13018356" y="2281941"/>
            <a:ext cx="2828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D922355F-49E8-443C-8443-83DAB24D15A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7" textlink="CalPopUp!$C$6">
        <xdr:nvSpPr>
          <xdr:cNvPr id="91" name="37Day" hidden="1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SpPr/>
        </xdr:nvSpPr>
        <xdr:spPr>
          <a:xfrm>
            <a:off x="11588350" y="2281941"/>
            <a:ext cx="27744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1719E6D-F54D-4632-9B03-7431B1C366A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31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6" textlink="CalPopUp!$B$6">
        <xdr:nvSpPr>
          <xdr:cNvPr id="92" name="36Day" hidden="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SpPr/>
        </xdr:nvSpPr>
        <xdr:spPr>
          <a:xfrm>
            <a:off x="11303538" y="2281941"/>
            <a:ext cx="27837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C1B9887C-2827-495B-8FCC-17D35AEA1A5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30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" textlink="CalPopUp!$B$1">
        <xdr:nvSpPr>
          <xdr:cNvPr id="93" name="1Day" hidden="1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11303422" y="1313611"/>
            <a:ext cx="2781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3EA3A585-C2FF-455A-9F94-77CF6F10860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" textlink="CalPopUp!$D$1">
        <xdr:nvSpPr>
          <xdr:cNvPr id="94" name="3Day" hidden="1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11874381" y="1313611"/>
            <a:ext cx="27929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D91C71CB-9CDB-45A8-A224-291BBB889004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4" textlink="CalPopUp!$H$2">
        <xdr:nvSpPr>
          <xdr:cNvPr id="95" name="14Day" hidden="1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13015056" y="1506872"/>
            <a:ext cx="28257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B479C045-6109-44CE-A2CC-C856BDAB291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8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7" textlink="CalPopUp!$H$1">
        <xdr:nvSpPr>
          <xdr:cNvPr id="96" name="7Day" hidden="1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/>
        </xdr:nvSpPr>
        <xdr:spPr>
          <a:xfrm>
            <a:off x="13015056" y="1313611"/>
            <a:ext cx="28257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1B90D1C-6515-4CBA-AD42-BA76E88E3576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4" textlink="CalPopUp!$E$1">
        <xdr:nvSpPr>
          <xdr:cNvPr id="97" name="4Day" hidden="1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SpPr/>
        </xdr:nvSpPr>
        <xdr:spPr>
          <a:xfrm>
            <a:off x="12160491" y="1313611"/>
            <a:ext cx="277196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136B8F11-69EA-4E96-A9A7-7EA27D7953E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" textlink="CalPopUp!$C$1">
        <xdr:nvSpPr>
          <xdr:cNvPr id="98" name="2Day" hidden="1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SpPr/>
        </xdr:nvSpPr>
        <xdr:spPr>
          <a:xfrm>
            <a:off x="11587975" y="1313611"/>
            <a:ext cx="277197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9380020-B9D4-43DB-B9BC-29B7A2730ED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5" textlink="CalPopUp!$F$1">
        <xdr:nvSpPr>
          <xdr:cNvPr id="99" name="5Day" hidden="1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/>
        </xdr:nvSpPr>
        <xdr:spPr>
          <a:xfrm>
            <a:off x="12442264" y="1313611"/>
            <a:ext cx="28257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1AD8C477-FD97-4E0F-A3F3-9D15CC499C9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8" textlink="CalPopUp!$B$2">
        <xdr:nvSpPr>
          <xdr:cNvPr id="100" name="8Day" hidden="1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SpPr/>
        </xdr:nvSpPr>
        <xdr:spPr>
          <a:xfrm>
            <a:off x="11303422" y="1506872"/>
            <a:ext cx="2781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78E6DC0-BF4B-42E1-9E6C-DA49F63332B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0" textlink="CalPopUp!$D$2">
        <xdr:nvSpPr>
          <xdr:cNvPr id="101" name="10Day" hidden="1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SpPr/>
        </xdr:nvSpPr>
        <xdr:spPr>
          <a:xfrm>
            <a:off x="11874381" y="1506872"/>
            <a:ext cx="27929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D8D44926-0696-4C33-B04D-8F8BDED1711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4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6" textlink="CalPopUp!$G$1">
        <xdr:nvSpPr>
          <xdr:cNvPr id="102" name="6Day" hidden="1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/>
        </xdr:nvSpPr>
        <xdr:spPr>
          <a:xfrm>
            <a:off x="12730260" y="1313611"/>
            <a:ext cx="277196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68C5D24-311C-483C-BD99-C3DAC79D7B1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3" textlink="CalPopUp!$G$2">
        <xdr:nvSpPr>
          <xdr:cNvPr id="103" name="13Day" hidden="1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/>
        </xdr:nvSpPr>
        <xdr:spPr>
          <a:xfrm>
            <a:off x="12730260" y="1506872"/>
            <a:ext cx="277196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63DDE5F3-1F3C-4DDA-A533-4297D363AAA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7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1" textlink="CalPopUp!$E$2">
        <xdr:nvSpPr>
          <xdr:cNvPr id="104" name="11Day" hidden="1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/>
        </xdr:nvSpPr>
        <xdr:spPr>
          <a:xfrm>
            <a:off x="12160491" y="1506872"/>
            <a:ext cx="277196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B468173-7B47-489E-818F-9B23908959A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5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9" textlink="CalPopUp!$C$2">
        <xdr:nvSpPr>
          <xdr:cNvPr id="105" name="9Day" hidden="1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SpPr/>
        </xdr:nvSpPr>
        <xdr:spPr>
          <a:xfrm>
            <a:off x="11587975" y="1506872"/>
            <a:ext cx="277197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C2C132A8-DA4A-4076-AF05-06A836903F0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3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2" textlink="CalPopUp!$F$2">
        <xdr:nvSpPr>
          <xdr:cNvPr id="106" name="12Day" hidden="1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SpPr/>
        </xdr:nvSpPr>
        <xdr:spPr>
          <a:xfrm>
            <a:off x="12442264" y="1506872"/>
            <a:ext cx="28257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6BD91D8-E359-4F85-82FD-478F173E671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6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5" textlink="CalPopUp!$B$3">
        <xdr:nvSpPr>
          <xdr:cNvPr id="107" name="15Day" hidden="1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SpPr/>
        </xdr:nvSpPr>
        <xdr:spPr>
          <a:xfrm>
            <a:off x="11303422" y="1700225"/>
            <a:ext cx="2781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DC9CB4A2-9B53-43C7-AEC9-6AB31289DAA4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7" textlink="CalPopUp!$D$3">
        <xdr:nvSpPr>
          <xdr:cNvPr id="108" name="17Day" hidden="1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874381" y="1700225"/>
            <a:ext cx="27929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6075F426-C444-4D91-BAC2-C282CDD154E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11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0" textlink="CalPopUp!$G$3">
        <xdr:nvSpPr>
          <xdr:cNvPr id="109" name="20Day" hidden="1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/>
        </xdr:nvSpPr>
        <xdr:spPr>
          <a:xfrm>
            <a:off x="12730260" y="1700225"/>
            <a:ext cx="277196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713B335-B746-4F18-A65A-9DE2CB9A16C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14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1" textlink="CalPopUp!$H$3">
        <xdr:nvSpPr>
          <xdr:cNvPr id="110" name="21Day" hidden="1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/>
        </xdr:nvSpPr>
        <xdr:spPr>
          <a:xfrm>
            <a:off x="13015056" y="1700225"/>
            <a:ext cx="283112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194884F0-BD0A-4A35-848B-4C6345FD6C1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15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8" textlink="CalPopUp!$E$3">
        <xdr:nvSpPr>
          <xdr:cNvPr id="111" name="18Day" hidden="1">
            <a:extLst>
              <a:ext uri="{FF2B5EF4-FFF2-40B4-BE49-F238E27FC236}">
                <a16:creationId xmlns:a16="http://schemas.microsoft.com/office/drawing/2014/main" id="{00000000-0008-0000-0000-00006F000000}"/>
              </a:ext>
            </a:extLst>
          </xdr:cNvPr>
          <xdr:cNvSpPr/>
        </xdr:nvSpPr>
        <xdr:spPr>
          <a:xfrm>
            <a:off x="12160491" y="1700225"/>
            <a:ext cx="277196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A84785E7-E675-4A05-8F96-9398421591A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12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6" textlink="CalPopUp!$C$3">
        <xdr:nvSpPr>
          <xdr:cNvPr id="112" name="16Day" hidden="1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/>
        </xdr:nvSpPr>
        <xdr:spPr>
          <a:xfrm>
            <a:off x="11587975" y="1700225"/>
            <a:ext cx="277197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7878243-D425-4DCE-BE38-4BA946009FA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10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9" textlink="CalPopUp!$F$3">
        <xdr:nvSpPr>
          <xdr:cNvPr id="113" name="19Day" hidden="1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2442264" y="1700225"/>
            <a:ext cx="28257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57162E37-4388-4323-8131-A3001523EA5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13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2" textlink="CalPopUp!$B$4">
        <xdr:nvSpPr>
          <xdr:cNvPr id="114" name="22Day" hidden="1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11303422" y="1893811"/>
            <a:ext cx="2781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85489BBF-C6DE-40FD-BE27-149AFB66A9F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16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4" textlink="CalPopUp!$D$4">
        <xdr:nvSpPr>
          <xdr:cNvPr id="115" name="24Day" hidden="1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/>
        </xdr:nvSpPr>
        <xdr:spPr>
          <a:xfrm>
            <a:off x="11874381" y="1893811"/>
            <a:ext cx="27929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09D3318-3638-4FB3-8118-698FA07BFD3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18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6" textlink="CalPopUp!$F$4">
        <xdr:nvSpPr>
          <xdr:cNvPr id="116" name="26Day" hidden="1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SpPr/>
        </xdr:nvSpPr>
        <xdr:spPr>
          <a:xfrm>
            <a:off x="12442264" y="1893811"/>
            <a:ext cx="283112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623D9AA-38B3-4770-9BDF-80A59E679FA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20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7" textlink="CalPopUp!$G$4">
        <xdr:nvSpPr>
          <xdr:cNvPr id="117" name="27Day" hidden="1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/>
        </xdr:nvSpPr>
        <xdr:spPr>
          <a:xfrm>
            <a:off x="12730260" y="1893811"/>
            <a:ext cx="277196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2644C7E-CB89-44A7-9A2A-D0CC7103FEC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5" textlink="CalPopUp!$E$4">
        <xdr:nvSpPr>
          <xdr:cNvPr id="118" name="25Day" hidden="1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/>
        </xdr:nvSpPr>
        <xdr:spPr>
          <a:xfrm>
            <a:off x="12160491" y="1893811"/>
            <a:ext cx="277196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A4FD1A6-50D1-41B5-81F3-CAF819B4EB9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3" textlink="CalPopUp!$C$4">
        <xdr:nvSpPr>
          <xdr:cNvPr id="119" name="23Day" hidden="1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SpPr/>
        </xdr:nvSpPr>
        <xdr:spPr>
          <a:xfrm>
            <a:off x="11587975" y="1893811"/>
            <a:ext cx="277197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576FF13-8EEA-4144-8295-559970E47CF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17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8" textlink="CalPopUp!$H$4">
        <xdr:nvSpPr>
          <xdr:cNvPr id="120" name="28Day" hidden="1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SpPr/>
        </xdr:nvSpPr>
        <xdr:spPr>
          <a:xfrm>
            <a:off x="13015056" y="1893811"/>
            <a:ext cx="28257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47E1BA6-F160-45AB-9254-3993545BC78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22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9" textlink="CalPopUp!$B$5">
        <xdr:nvSpPr>
          <xdr:cNvPr id="121" name="29Day" hidden="1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/>
        </xdr:nvSpPr>
        <xdr:spPr>
          <a:xfrm>
            <a:off x="11303422" y="2088355"/>
            <a:ext cx="2781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31B8929-CE24-4A43-B4F8-0E0FD58236E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23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1" textlink="CalPopUp!$D$5">
        <xdr:nvSpPr>
          <xdr:cNvPr id="122" name="31Day" hidden="1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/>
        </xdr:nvSpPr>
        <xdr:spPr>
          <a:xfrm>
            <a:off x="11874381" y="2088355"/>
            <a:ext cx="27929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C7CAE85F-8E01-4545-B722-A2203179350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25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4" textlink="CalPopUp!$G$5">
        <xdr:nvSpPr>
          <xdr:cNvPr id="123" name="34Day" hidden="1">
            <a:extLst>
              <a:ext uri="{FF2B5EF4-FFF2-40B4-BE49-F238E27FC236}">
                <a16:creationId xmlns:a16="http://schemas.microsoft.com/office/drawing/2014/main" id="{00000000-0008-0000-0000-00007B000000}"/>
              </a:ext>
            </a:extLst>
          </xdr:cNvPr>
          <xdr:cNvSpPr/>
        </xdr:nvSpPr>
        <xdr:spPr>
          <a:xfrm>
            <a:off x="12731897" y="2088355"/>
            <a:ext cx="277196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D73B510-228D-4B51-8C54-5ECD9AE35CF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28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5" textlink="CalPopUp!$H$5">
        <xdr:nvSpPr>
          <xdr:cNvPr id="124" name="35Day" hidden="1">
            <a:extLst>
              <a:ext uri="{FF2B5EF4-FFF2-40B4-BE49-F238E27FC236}">
                <a16:creationId xmlns:a16="http://schemas.microsoft.com/office/drawing/2014/main" id="{00000000-0008-0000-0000-00007C000000}"/>
              </a:ext>
            </a:extLst>
          </xdr:cNvPr>
          <xdr:cNvSpPr/>
        </xdr:nvSpPr>
        <xdr:spPr>
          <a:xfrm>
            <a:off x="13016694" y="2088355"/>
            <a:ext cx="283112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37BF2983-5A8E-40F3-9870-C183B477F205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2" textlink="CalPopUp!$E$5">
        <xdr:nvSpPr>
          <xdr:cNvPr id="125" name="32Day" hidden="1">
            <a:extLst>
              <a:ext uri="{FF2B5EF4-FFF2-40B4-BE49-F238E27FC236}">
                <a16:creationId xmlns:a16="http://schemas.microsoft.com/office/drawing/2014/main" id="{00000000-0008-0000-0000-00007D000000}"/>
              </a:ext>
            </a:extLst>
          </xdr:cNvPr>
          <xdr:cNvSpPr/>
        </xdr:nvSpPr>
        <xdr:spPr>
          <a:xfrm>
            <a:off x="12160491" y="2088355"/>
            <a:ext cx="277196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0B25F98-51CF-4E81-A052-D2869A6F062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26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0" textlink="CalPopUp!$C$5">
        <xdr:nvSpPr>
          <xdr:cNvPr id="126" name="30Day" hidden="1">
            <a:extLst>
              <a:ext uri="{FF2B5EF4-FFF2-40B4-BE49-F238E27FC236}">
                <a16:creationId xmlns:a16="http://schemas.microsoft.com/office/drawing/2014/main" id="{00000000-0008-0000-0000-00007E000000}"/>
              </a:ext>
            </a:extLst>
          </xdr:cNvPr>
          <xdr:cNvSpPr/>
        </xdr:nvSpPr>
        <xdr:spPr>
          <a:xfrm>
            <a:off x="11587975" y="2088355"/>
            <a:ext cx="277197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C6BA189-5EB2-47DD-907C-6F8AF4F839B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24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3" textlink="CalPopUp!$F$5">
        <xdr:nvSpPr>
          <xdr:cNvPr id="127" name="33Day" hidden="1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SpPr/>
        </xdr:nvSpPr>
        <xdr:spPr>
          <a:xfrm>
            <a:off x="12443900" y="2088355"/>
            <a:ext cx="28257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B34EE7E-F7B1-4927-9B2F-663C4A606EF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27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" textlink="">
        <xdr:nvSpPr>
          <xdr:cNvPr id="128" name="Sa" hidden="1">
            <a:extLst>
              <a:ext uri="{FF2B5EF4-FFF2-40B4-BE49-F238E27FC236}">
                <a16:creationId xmlns:a16="http://schemas.microsoft.com/office/drawing/2014/main" id="{00000000-0008-0000-0000-000080000000}"/>
              </a:ext>
            </a:extLst>
          </xdr:cNvPr>
          <xdr:cNvSpPr/>
        </xdr:nvSpPr>
        <xdr:spPr>
          <a:xfrm>
            <a:off x="13016576" y="1116449"/>
            <a:ext cx="282571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Sa</a:t>
            </a:r>
          </a:p>
        </xdr:txBody>
      </xdr:sp>
      <xdr:sp macro="" textlink="">
        <xdr:nvSpPr>
          <xdr:cNvPr id="129" name="Fr" hidden="1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SpPr/>
        </xdr:nvSpPr>
        <xdr:spPr>
          <a:xfrm>
            <a:off x="12731780" y="1116449"/>
            <a:ext cx="277196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Fr</a:t>
            </a:r>
          </a:p>
        </xdr:txBody>
      </xdr:sp>
      <xdr:sp macro="" textlink="">
        <xdr:nvSpPr>
          <xdr:cNvPr id="130" name="Th" hidden="1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/>
        </xdr:nvSpPr>
        <xdr:spPr>
          <a:xfrm>
            <a:off x="12442841" y="1116449"/>
            <a:ext cx="283513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Th</a:t>
            </a:r>
          </a:p>
        </xdr:txBody>
      </xdr:sp>
      <xdr:sp macro="" textlink="">
        <xdr:nvSpPr>
          <xdr:cNvPr id="131" name="We" hidden="1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SpPr/>
        </xdr:nvSpPr>
        <xdr:spPr>
          <a:xfrm>
            <a:off x="12162010" y="1116449"/>
            <a:ext cx="276253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WeW</a:t>
            </a:r>
          </a:p>
        </xdr:txBody>
      </xdr:sp>
      <xdr:sp macro="" textlink="">
        <xdr:nvSpPr>
          <xdr:cNvPr id="132" name="Tu" hidden="1">
            <a:extLst>
              <a:ext uri="{FF2B5EF4-FFF2-40B4-BE49-F238E27FC236}">
                <a16:creationId xmlns:a16="http://schemas.microsoft.com/office/drawing/2014/main" id="{00000000-0008-0000-0000-000084000000}"/>
              </a:ext>
            </a:extLst>
          </xdr:cNvPr>
          <xdr:cNvSpPr/>
        </xdr:nvSpPr>
        <xdr:spPr>
          <a:xfrm>
            <a:off x="11874958" y="1116449"/>
            <a:ext cx="280234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Tu</a:t>
            </a:r>
          </a:p>
        </xdr:txBody>
      </xdr:sp>
      <xdr:sp macro="" textlink="">
        <xdr:nvSpPr>
          <xdr:cNvPr id="133" name="Mo" hidden="1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11589494" y="1116449"/>
            <a:ext cx="276254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l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Mo</a:t>
            </a:r>
          </a:p>
        </xdr:txBody>
      </xdr:sp>
      <xdr:sp macro="" textlink="">
        <xdr:nvSpPr>
          <xdr:cNvPr id="134" name="Su" hidden="1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11304940" y="1116449"/>
            <a:ext cx="278125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Su</a:t>
            </a:r>
          </a:p>
        </xdr:txBody>
      </xdr:sp>
      <xdr:pic macro="ShowSettings">
        <xdr:nvPicPr>
          <xdr:cNvPr id="135" name="SetBtn" hidden="1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217153" y="2516822"/>
            <a:ext cx="146341" cy="141622"/>
          </a:xfrm>
          <a:prstGeom prst="rect">
            <a:avLst/>
          </a:prstGeom>
        </xdr:spPr>
      </xdr:pic>
      <xdr:sp macro="CalCol1" textlink="">
        <xdr:nvSpPr>
          <xdr:cNvPr id="136" name="CalCol1" hidden="1">
            <a:extLst>
              <a:ext uri="{FF2B5EF4-FFF2-40B4-BE49-F238E27FC236}">
                <a16:creationId xmlns:a16="http://schemas.microsoft.com/office/drawing/2014/main" id="{00000000-0008-0000-0000-000088000000}"/>
              </a:ext>
            </a:extLst>
          </xdr:cNvPr>
          <xdr:cNvSpPr/>
        </xdr:nvSpPr>
        <xdr:spPr>
          <a:xfrm>
            <a:off x="11281956" y="2737330"/>
            <a:ext cx="138688" cy="130839"/>
          </a:xfrm>
          <a:prstGeom prst="ellipse">
            <a:avLst/>
          </a:prstGeom>
          <a:solidFill>
            <a:srgbClr val="EAEAEA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2" textlink="">
        <xdr:nvSpPr>
          <xdr:cNvPr id="137" name="CalCol2" hidden="1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1522093" y="2737330"/>
            <a:ext cx="138688" cy="130839"/>
          </a:xfrm>
          <a:prstGeom prst="ellipse">
            <a:avLst/>
          </a:prstGeom>
          <a:solidFill>
            <a:schemeClr val="bg2">
              <a:lumMod val="75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3" textlink="">
        <xdr:nvSpPr>
          <xdr:cNvPr id="138" name="CalCol3" hidden="1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1762232" y="2737330"/>
            <a:ext cx="139583" cy="130839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4" textlink="">
        <xdr:nvSpPr>
          <xdr:cNvPr id="139" name="CalCol4" hidden="1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/>
        </xdr:nvSpPr>
        <xdr:spPr>
          <a:xfrm>
            <a:off x="12003265" y="2737330"/>
            <a:ext cx="138688" cy="130839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5" textlink="">
        <xdr:nvSpPr>
          <xdr:cNvPr id="140" name="CalCol5" hidden="1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SpPr/>
        </xdr:nvSpPr>
        <xdr:spPr>
          <a:xfrm>
            <a:off x="12243404" y="2737330"/>
            <a:ext cx="138688" cy="130839"/>
          </a:xfrm>
          <a:prstGeom prst="ellipse">
            <a:avLst/>
          </a:prstGeom>
          <a:solidFill>
            <a:schemeClr val="accent2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6" textlink="">
        <xdr:nvSpPr>
          <xdr:cNvPr id="141" name="CalCol6" hidden="1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SpPr/>
        </xdr:nvSpPr>
        <xdr:spPr>
          <a:xfrm>
            <a:off x="12484438" y="2737330"/>
            <a:ext cx="138688" cy="130839"/>
          </a:xfrm>
          <a:prstGeom prst="ellipse">
            <a:avLst/>
          </a:prstGeom>
          <a:solidFill>
            <a:schemeClr val="accent3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7" textlink="">
        <xdr:nvSpPr>
          <xdr:cNvPr id="142" name="CalCol7" hidden="1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/>
        </xdr:nvSpPr>
        <xdr:spPr>
          <a:xfrm>
            <a:off x="12724576" y="2737330"/>
            <a:ext cx="138688" cy="130839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8" textlink="">
        <xdr:nvSpPr>
          <xdr:cNvPr id="143" name="CalCol8" hidden="1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/>
        </xdr:nvSpPr>
        <xdr:spPr>
          <a:xfrm>
            <a:off x="12964716" y="2737330"/>
            <a:ext cx="139581" cy="130839"/>
          </a:xfrm>
          <a:prstGeom prst="ellipse">
            <a:avLst/>
          </a:prstGeom>
          <a:solidFill>
            <a:schemeClr val="accent5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9" textlink="">
        <xdr:nvSpPr>
          <xdr:cNvPr id="144" name="CalCol9" hidden="1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SpPr/>
        </xdr:nvSpPr>
        <xdr:spPr>
          <a:xfrm>
            <a:off x="13205749" y="2737330"/>
            <a:ext cx="138688" cy="130839"/>
          </a:xfrm>
          <a:prstGeom prst="ellipse">
            <a:avLst/>
          </a:prstGeom>
          <a:solidFill>
            <a:schemeClr val="accent6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77" name="PrevMonth" hidden="1">
            <a:extLst>
              <a:ext uri="{FF2B5EF4-FFF2-40B4-BE49-F238E27FC236}">
                <a16:creationId xmlns:a16="http://schemas.microsoft.com/office/drawing/2014/main" id="{24121A8E-568A-4243-8080-8AA2372E63CB}"/>
              </a:ext>
            </a:extLst>
          </xdr:cNvPr>
          <xdr:cNvGrpSpPr/>
        </xdr:nvGrpSpPr>
        <xdr:grpSpPr>
          <a:xfrm>
            <a:off x="11358084" y="957541"/>
            <a:ext cx="111249" cy="107660"/>
            <a:chOff x="11358084" y="957541"/>
            <a:chExt cx="111249" cy="107660"/>
          </a:xfrm>
        </xdr:grpSpPr>
        <xdr:sp macro="PrevMonth" textlink="">
          <xdr:nvSpPr>
            <xdr:cNvPr id="149" name="PrevRec" hidden="1">
              <a:extLst>
                <a:ext uri="{FF2B5EF4-FFF2-40B4-BE49-F238E27FC236}">
                  <a16:creationId xmlns:a16="http://schemas.microsoft.com/office/drawing/2014/main" id="{00000000-0008-0000-0000-000095000000}"/>
                </a:ext>
              </a:extLst>
            </xdr:cNvPr>
            <xdr:cNvSpPr/>
          </xdr:nvSpPr>
          <xdr:spPr>
            <a:xfrm>
              <a:off x="11358084" y="957541"/>
              <a:ext cx="111249" cy="107660"/>
            </a:xfrm>
            <a:prstGeom prst="roundRect">
              <a:avLst/>
            </a:prstGeom>
            <a:solidFill>
              <a:srgbClr val="000000"/>
            </a:solidFill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PrevMonth" textlink="">
          <xdr:nvSpPr>
            <xdr:cNvPr id="150" name="PrevTri" hidden="1">
              <a:extLst>
                <a:ext uri="{FF2B5EF4-FFF2-40B4-BE49-F238E27FC236}">
                  <a16:creationId xmlns:a16="http://schemas.microsoft.com/office/drawing/2014/main" id="{00000000-0008-0000-0000-000096000000}"/>
                </a:ext>
              </a:extLst>
            </xdr:cNvPr>
            <xdr:cNvSpPr/>
          </xdr:nvSpPr>
          <xdr:spPr>
            <a:xfrm rot="16200000">
              <a:off x="11372065" y="981674"/>
              <a:ext cx="71489" cy="59393"/>
            </a:xfrm>
            <a:prstGeom prst="triangle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</xdr:grpSp>
      <xdr:grpSp>
        <xdr:nvGrpSpPr>
          <xdr:cNvPr id="76" name="NextMonth" hidden="1">
            <a:extLst>
              <a:ext uri="{FF2B5EF4-FFF2-40B4-BE49-F238E27FC236}">
                <a16:creationId xmlns:a16="http://schemas.microsoft.com/office/drawing/2014/main" id="{9C907E46-7ECE-4B9C-9D58-B6616088D7E6}"/>
              </a:ext>
            </a:extLst>
          </xdr:cNvPr>
          <xdr:cNvGrpSpPr/>
        </xdr:nvGrpSpPr>
        <xdr:grpSpPr>
          <a:xfrm>
            <a:off x="13153916" y="957541"/>
            <a:ext cx="111249" cy="107660"/>
            <a:chOff x="13153916" y="957541"/>
            <a:chExt cx="111249" cy="107660"/>
          </a:xfrm>
        </xdr:grpSpPr>
        <xdr:sp macro="NextMonth" textlink="">
          <xdr:nvSpPr>
            <xdr:cNvPr id="147" name="NextRec" hidden="1">
              <a:extLst>
                <a:ext uri="{FF2B5EF4-FFF2-40B4-BE49-F238E27FC236}">
                  <a16:creationId xmlns:a16="http://schemas.microsoft.com/office/drawing/2014/main" id="{00000000-0008-0000-0000-000093000000}"/>
                </a:ext>
              </a:extLst>
            </xdr:cNvPr>
            <xdr:cNvSpPr/>
          </xdr:nvSpPr>
          <xdr:spPr>
            <a:xfrm>
              <a:off x="13153916" y="957541"/>
              <a:ext cx="111249" cy="107660"/>
            </a:xfrm>
            <a:prstGeom prst="roundRect">
              <a:avLst/>
            </a:prstGeom>
            <a:solidFill>
              <a:srgbClr val="000000"/>
            </a:solidFill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NextMonth" textlink="">
          <xdr:nvSpPr>
            <xdr:cNvPr id="148" name="NextTri" hidden="1">
              <a:extLst>
                <a:ext uri="{FF2B5EF4-FFF2-40B4-BE49-F238E27FC236}">
                  <a16:creationId xmlns:a16="http://schemas.microsoft.com/office/drawing/2014/main" id="{00000000-0008-0000-0000-000094000000}"/>
                </a:ext>
              </a:extLst>
            </xdr:cNvPr>
            <xdr:cNvSpPr/>
          </xdr:nvSpPr>
          <xdr:spPr>
            <a:xfrm rot="5400000">
              <a:off x="13177552" y="981674"/>
              <a:ext cx="71489" cy="59393"/>
            </a:xfrm>
            <a:prstGeom prst="triangle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14</xdr:row>
      <xdr:rowOff>0</xdr:rowOff>
    </xdr:from>
    <xdr:to>
      <xdr:col>11</xdr:col>
      <xdr:colOff>238125</xdr:colOff>
      <xdr:row>25</xdr:row>
      <xdr:rowOff>110066</xdr:rowOff>
    </xdr:to>
    <xdr:grpSp>
      <xdr:nvGrpSpPr>
        <xdr:cNvPr id="72" name="Calendar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GrpSpPr/>
      </xdr:nvGrpSpPr>
      <xdr:grpSpPr>
        <a:xfrm>
          <a:off x="5086350" y="2667000"/>
          <a:ext cx="2066925" cy="2205566"/>
          <a:chOff x="11172825" y="723900"/>
          <a:chExt cx="2066925" cy="2205566"/>
        </a:xfrm>
      </xdr:grpSpPr>
      <xdr:sp macro="" textlink="">
        <xdr:nvSpPr>
          <xdr:cNvPr id="73" name="Settings">
            <a:extLst>
              <a:ext uri="{FF2B5EF4-FFF2-40B4-BE49-F238E27FC236}">
                <a16:creationId xmlns:a16="http://schemas.microsoft.com/office/drawing/2014/main" id="{00000000-0008-0000-0300-000049000000}"/>
              </a:ext>
            </a:extLst>
          </xdr:cNvPr>
          <xdr:cNvSpPr/>
        </xdr:nvSpPr>
        <xdr:spPr>
          <a:xfrm>
            <a:off x="11174688" y="2695825"/>
            <a:ext cx="2065062" cy="233641"/>
          </a:xfrm>
          <a:prstGeom prst="rect">
            <a:avLst/>
          </a:prstGeom>
          <a:solidFill>
            <a:srgbClr val="D7E4BC"/>
          </a:solidFill>
          <a:ln w="6350"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4" name="CalBack">
            <a:extLst>
              <a:ext uri="{FF2B5EF4-FFF2-40B4-BE49-F238E27FC236}">
                <a16:creationId xmlns:a16="http://schemas.microsoft.com/office/drawing/2014/main" id="{00000000-0008-0000-0300-00004A000000}"/>
              </a:ext>
            </a:extLst>
          </xdr:cNvPr>
          <xdr:cNvSpPr/>
        </xdr:nvSpPr>
        <xdr:spPr>
          <a:xfrm>
            <a:off x="11172825" y="723900"/>
            <a:ext cx="2065062" cy="1962581"/>
          </a:xfrm>
          <a:prstGeom prst="rect">
            <a:avLst/>
          </a:prstGeom>
          <a:solidFill>
            <a:srgbClr val="D7E4BC"/>
          </a:solidFill>
          <a:ln w="6350"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CalPopUp!$A$5">
        <xdr:nvSpPr>
          <xdr:cNvPr id="75" name="MonthYear">
            <a:extLst>
              <a:ext uri="{FF2B5EF4-FFF2-40B4-BE49-F238E27FC236}">
                <a16:creationId xmlns:a16="http://schemas.microsoft.com/office/drawing/2014/main" id="{00000000-0008-0000-0300-00004B000000}"/>
              </a:ext>
            </a:extLst>
          </xdr:cNvPr>
          <xdr:cNvSpPr txBox="1"/>
        </xdr:nvSpPr>
        <xdr:spPr>
          <a:xfrm>
            <a:off x="11456477" y="920629"/>
            <a:ext cx="1500761" cy="1869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/>
          <a:lstStyle/>
          <a:p>
            <a:pPr algn="ctr"/>
            <a:fld id="{F5DEC8D6-9D45-4135-9A43-8ABB8253C90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August 2020</a:t>
            </a:fld>
            <a:endParaRPr lang="en-US" sz="1100" b="1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DayBtn40" textlink="CalPopUp!$F$6">
        <xdr:nvSpPr>
          <xdr:cNvPr id="76" name="40Day">
            <a:extLst>
              <a:ext uri="{FF2B5EF4-FFF2-40B4-BE49-F238E27FC236}">
                <a16:creationId xmlns:a16="http://schemas.microsoft.com/office/drawing/2014/main" id="{00000000-0008-0000-0300-00004C000000}"/>
              </a:ext>
            </a:extLst>
          </xdr:cNvPr>
          <xdr:cNvSpPr/>
        </xdr:nvSpPr>
        <xdr:spPr>
          <a:xfrm>
            <a:off x="12337688" y="2281941"/>
            <a:ext cx="259456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8D5660D1-E1D2-47B5-BCCB-770834139004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41" textlink="CalPopUp!$G$6">
        <xdr:nvSpPr>
          <xdr:cNvPr id="77" name="41Day">
            <a:extLst>
              <a:ext uri="{FF2B5EF4-FFF2-40B4-BE49-F238E27FC236}">
                <a16:creationId xmlns:a16="http://schemas.microsoft.com/office/drawing/2014/main" id="{00000000-0008-0000-0300-00004D000000}"/>
              </a:ext>
            </a:extLst>
          </xdr:cNvPr>
          <xdr:cNvSpPr/>
        </xdr:nvSpPr>
        <xdr:spPr>
          <a:xfrm>
            <a:off x="12601618" y="2281941"/>
            <a:ext cx="254032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5E2F5CA-DFA2-4E55-8776-08D34009447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" textlink="">
        <xdr:nvSpPr>
          <xdr:cNvPr id="78" name="CalBorder">
            <a:extLst>
              <a:ext uri="{FF2B5EF4-FFF2-40B4-BE49-F238E27FC236}">
                <a16:creationId xmlns:a16="http://schemas.microsoft.com/office/drawing/2014/main" id="{00000000-0008-0000-0300-00004E000000}"/>
              </a:ext>
            </a:extLst>
          </xdr:cNvPr>
          <xdr:cNvSpPr/>
        </xdr:nvSpPr>
        <xdr:spPr>
          <a:xfrm>
            <a:off x="11277249" y="891825"/>
            <a:ext cx="1859215" cy="1601694"/>
          </a:xfrm>
          <a:prstGeom prst="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DayBtn39" textlink="CalPopUp!$E$6">
        <xdr:nvSpPr>
          <xdr:cNvPr id="79" name="39Day">
            <a:extLst>
              <a:ext uri="{FF2B5EF4-FFF2-40B4-BE49-F238E27FC236}">
                <a16:creationId xmlns:a16="http://schemas.microsoft.com/office/drawing/2014/main" id="{00000000-0008-0000-0300-00004F000000}"/>
              </a:ext>
            </a:extLst>
          </xdr:cNvPr>
          <xdr:cNvSpPr/>
        </xdr:nvSpPr>
        <xdr:spPr>
          <a:xfrm>
            <a:off x="12077958" y="2281941"/>
            <a:ext cx="254032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64944BC-E47E-4F67-993C-DBA5E1EE40A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8" textlink="CalPopUp!$D$6">
        <xdr:nvSpPr>
          <xdr:cNvPr id="80" name="38Day">
            <a:extLst>
              <a:ext uri="{FF2B5EF4-FFF2-40B4-BE49-F238E27FC236}">
                <a16:creationId xmlns:a16="http://schemas.microsoft.com/office/drawing/2014/main" id="{00000000-0008-0000-0300-000050000000}"/>
              </a:ext>
            </a:extLst>
          </xdr:cNvPr>
          <xdr:cNvSpPr/>
        </xdr:nvSpPr>
        <xdr:spPr>
          <a:xfrm>
            <a:off x="11815756" y="2281941"/>
            <a:ext cx="2559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0C33D8A8-EA5D-442F-BB00-2CA93776D79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42" textlink="CalPopUp!$H$6">
        <xdr:nvSpPr>
          <xdr:cNvPr id="81" name="42Day">
            <a:extLst>
              <a:ext uri="{FF2B5EF4-FFF2-40B4-BE49-F238E27FC236}">
                <a16:creationId xmlns:a16="http://schemas.microsoft.com/office/drawing/2014/main" id="{00000000-0008-0000-0300-000051000000}"/>
              </a:ext>
            </a:extLst>
          </xdr:cNvPr>
          <xdr:cNvSpPr/>
        </xdr:nvSpPr>
        <xdr:spPr>
          <a:xfrm>
            <a:off x="12862616" y="2281941"/>
            <a:ext cx="258958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D922355F-49E8-443C-8443-83DAB24D15A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7" textlink="CalPopUp!$C$6">
        <xdr:nvSpPr>
          <xdr:cNvPr id="82" name="37Day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SpPr/>
        </xdr:nvSpPr>
        <xdr:spPr>
          <a:xfrm>
            <a:off x="11553285" y="2281941"/>
            <a:ext cx="254032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1719E6D-F54D-4632-9B03-7431B1C366A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31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6" textlink="CalPopUp!$B$6">
        <xdr:nvSpPr>
          <xdr:cNvPr id="83" name="36Day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/>
        </xdr:nvSpPr>
        <xdr:spPr>
          <a:xfrm>
            <a:off x="11292507" y="2281941"/>
            <a:ext cx="25488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C1B9887C-2827-495B-8FCC-17D35AEA1A5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30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" textlink="CalPopUp!$B$1">
        <xdr:nvSpPr>
          <xdr:cNvPr id="84" name="1Day">
            <a:extLst>
              <a:ext uri="{FF2B5EF4-FFF2-40B4-BE49-F238E27FC236}">
                <a16:creationId xmlns:a16="http://schemas.microsoft.com/office/drawing/2014/main" id="{00000000-0008-0000-0300-000054000000}"/>
              </a:ext>
            </a:extLst>
          </xdr:cNvPr>
          <xdr:cNvSpPr/>
        </xdr:nvSpPr>
        <xdr:spPr>
          <a:xfrm>
            <a:off x="11292400" y="1313611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3EA3A585-C2FF-455A-9F94-77CF6F10860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" textlink="CalPopUp!$D$1">
        <xdr:nvSpPr>
          <xdr:cNvPr id="85" name="3Day">
            <a:extLst>
              <a:ext uri="{FF2B5EF4-FFF2-40B4-BE49-F238E27FC236}">
                <a16:creationId xmlns:a16="http://schemas.microsoft.com/office/drawing/2014/main" id="{00000000-0008-0000-0300-000055000000}"/>
              </a:ext>
            </a:extLst>
          </xdr:cNvPr>
          <xdr:cNvSpPr/>
        </xdr:nvSpPr>
        <xdr:spPr>
          <a:xfrm>
            <a:off x="11815177" y="1313611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D91C71CB-9CDB-45A8-A224-291BBB889004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4" textlink="CalPopUp!$H$2">
        <xdr:nvSpPr>
          <xdr:cNvPr id="86" name="14Day">
            <a:extLst>
              <a:ext uri="{FF2B5EF4-FFF2-40B4-BE49-F238E27FC236}">
                <a16:creationId xmlns:a16="http://schemas.microsoft.com/office/drawing/2014/main" id="{00000000-0008-0000-0300-000056000000}"/>
              </a:ext>
            </a:extLst>
          </xdr:cNvPr>
          <xdr:cNvSpPr/>
        </xdr:nvSpPr>
        <xdr:spPr>
          <a:xfrm>
            <a:off x="12859594" y="1506872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B479C045-6109-44CE-A2CC-C856BDAB291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8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7" textlink="CalPopUp!$H$1">
        <xdr:nvSpPr>
          <xdr:cNvPr id="87" name="7Day">
            <a:extLst>
              <a:ext uri="{FF2B5EF4-FFF2-40B4-BE49-F238E27FC236}">
                <a16:creationId xmlns:a16="http://schemas.microsoft.com/office/drawing/2014/main" id="{00000000-0008-0000-0300-000057000000}"/>
              </a:ext>
            </a:extLst>
          </xdr:cNvPr>
          <xdr:cNvSpPr/>
        </xdr:nvSpPr>
        <xdr:spPr>
          <a:xfrm>
            <a:off x="12859594" y="1313611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1B90D1C-6515-4CBA-AD42-BA76E88E3576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4" textlink="CalPopUp!$E$1">
        <xdr:nvSpPr>
          <xdr:cNvPr id="88" name="4Day">
            <a:extLst>
              <a:ext uri="{FF2B5EF4-FFF2-40B4-BE49-F238E27FC236}">
                <a16:creationId xmlns:a16="http://schemas.microsoft.com/office/drawing/2014/main" id="{00000000-0008-0000-0300-000058000000}"/>
              </a:ext>
            </a:extLst>
          </xdr:cNvPr>
          <xdr:cNvSpPr/>
        </xdr:nvSpPr>
        <xdr:spPr>
          <a:xfrm>
            <a:off x="12077143" y="1313611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136B8F11-69EA-4E96-A9A7-7EA27D7953E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" textlink="CalPopUp!$C$1">
        <xdr:nvSpPr>
          <xdr:cNvPr id="89" name="2Day">
            <a:extLst>
              <a:ext uri="{FF2B5EF4-FFF2-40B4-BE49-F238E27FC236}">
                <a16:creationId xmlns:a16="http://schemas.microsoft.com/office/drawing/2014/main" id="{00000000-0008-0000-0300-000059000000}"/>
              </a:ext>
            </a:extLst>
          </xdr:cNvPr>
          <xdr:cNvSpPr/>
        </xdr:nvSpPr>
        <xdr:spPr>
          <a:xfrm>
            <a:off x="11552941" y="1313611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9380020-B9D4-43DB-B9BC-29B7A2730ED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5" textlink="CalPopUp!$F$1">
        <xdr:nvSpPr>
          <xdr:cNvPr id="90" name="5Day">
            <a:extLst>
              <a:ext uri="{FF2B5EF4-FFF2-40B4-BE49-F238E27FC236}">
                <a16:creationId xmlns:a16="http://schemas.microsoft.com/office/drawing/2014/main" id="{00000000-0008-0000-0300-00005A000000}"/>
              </a:ext>
            </a:extLst>
          </xdr:cNvPr>
          <xdr:cNvSpPr/>
        </xdr:nvSpPr>
        <xdr:spPr>
          <a:xfrm>
            <a:off x="12335138" y="1313611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1AD8C477-FD97-4E0F-A3F3-9D15CC499C9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8" textlink="CalPopUp!$B$2">
        <xdr:nvSpPr>
          <xdr:cNvPr id="91" name="8Day">
            <a:extLst>
              <a:ext uri="{FF2B5EF4-FFF2-40B4-BE49-F238E27FC236}">
                <a16:creationId xmlns:a16="http://schemas.microsoft.com/office/drawing/2014/main" id="{00000000-0008-0000-0300-00005B000000}"/>
              </a:ext>
            </a:extLst>
          </xdr:cNvPr>
          <xdr:cNvSpPr/>
        </xdr:nvSpPr>
        <xdr:spPr>
          <a:xfrm>
            <a:off x="11292400" y="1506872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78E6DC0-BF4B-42E1-9E6C-DA49F63332B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0" textlink="CalPopUp!$D$2">
        <xdr:nvSpPr>
          <xdr:cNvPr id="92" name="10Day">
            <a:extLst>
              <a:ext uri="{FF2B5EF4-FFF2-40B4-BE49-F238E27FC236}">
                <a16:creationId xmlns:a16="http://schemas.microsoft.com/office/drawing/2014/main" id="{00000000-0008-0000-0300-00005C000000}"/>
              </a:ext>
            </a:extLst>
          </xdr:cNvPr>
          <xdr:cNvSpPr/>
        </xdr:nvSpPr>
        <xdr:spPr>
          <a:xfrm>
            <a:off x="11815177" y="1506872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D8D44926-0696-4C33-B04D-8F8BDED1711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4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6" textlink="CalPopUp!$G$1">
        <xdr:nvSpPr>
          <xdr:cNvPr id="93" name="6Day">
            <a:extLst>
              <a:ext uri="{FF2B5EF4-FFF2-40B4-BE49-F238E27FC236}">
                <a16:creationId xmlns:a16="http://schemas.microsoft.com/office/drawing/2014/main" id="{00000000-0008-0000-0300-00005D000000}"/>
              </a:ext>
            </a:extLst>
          </xdr:cNvPr>
          <xdr:cNvSpPr/>
        </xdr:nvSpPr>
        <xdr:spPr>
          <a:xfrm>
            <a:off x="12598831" y="1313611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68C5D24-311C-483C-BD99-C3DAC79D7B1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3" textlink="CalPopUp!$G$2">
        <xdr:nvSpPr>
          <xdr:cNvPr id="94" name="13Day">
            <a:extLst>
              <a:ext uri="{FF2B5EF4-FFF2-40B4-BE49-F238E27FC236}">
                <a16:creationId xmlns:a16="http://schemas.microsoft.com/office/drawing/2014/main" id="{00000000-0008-0000-0300-00005E000000}"/>
              </a:ext>
            </a:extLst>
          </xdr:cNvPr>
          <xdr:cNvSpPr/>
        </xdr:nvSpPr>
        <xdr:spPr>
          <a:xfrm>
            <a:off x="12598831" y="1506872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63DDE5F3-1F3C-4DDA-A533-4297D363AAA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7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1" textlink="CalPopUp!$E$2">
        <xdr:nvSpPr>
          <xdr:cNvPr id="95" name="11Day">
            <a:extLst>
              <a:ext uri="{FF2B5EF4-FFF2-40B4-BE49-F238E27FC236}">
                <a16:creationId xmlns:a16="http://schemas.microsoft.com/office/drawing/2014/main" id="{00000000-0008-0000-0300-00005F000000}"/>
              </a:ext>
            </a:extLst>
          </xdr:cNvPr>
          <xdr:cNvSpPr/>
        </xdr:nvSpPr>
        <xdr:spPr>
          <a:xfrm>
            <a:off x="12077143" y="1506872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B468173-7B47-489E-818F-9B23908959A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5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9" textlink="CalPopUp!$C$2">
        <xdr:nvSpPr>
          <xdr:cNvPr id="96" name="9Day">
            <a:extLst>
              <a:ext uri="{FF2B5EF4-FFF2-40B4-BE49-F238E27FC236}">
                <a16:creationId xmlns:a16="http://schemas.microsoft.com/office/drawing/2014/main" id="{00000000-0008-0000-0300-000060000000}"/>
              </a:ext>
            </a:extLst>
          </xdr:cNvPr>
          <xdr:cNvSpPr/>
        </xdr:nvSpPr>
        <xdr:spPr>
          <a:xfrm>
            <a:off x="11552941" y="1506872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C2C132A8-DA4A-4076-AF05-06A836903F0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3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2" textlink="CalPopUp!$F$2">
        <xdr:nvSpPr>
          <xdr:cNvPr id="97" name="12Day">
            <a:extLst>
              <a:ext uri="{FF2B5EF4-FFF2-40B4-BE49-F238E27FC236}">
                <a16:creationId xmlns:a16="http://schemas.microsoft.com/office/drawing/2014/main" id="{00000000-0008-0000-0300-000061000000}"/>
              </a:ext>
            </a:extLst>
          </xdr:cNvPr>
          <xdr:cNvSpPr/>
        </xdr:nvSpPr>
        <xdr:spPr>
          <a:xfrm>
            <a:off x="12335138" y="1506872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6BD91D8-E359-4F85-82FD-478F173E671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6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5" textlink="CalPopUp!$B$3">
        <xdr:nvSpPr>
          <xdr:cNvPr id="98" name="15Day">
            <a:extLst>
              <a:ext uri="{FF2B5EF4-FFF2-40B4-BE49-F238E27FC236}">
                <a16:creationId xmlns:a16="http://schemas.microsoft.com/office/drawing/2014/main" id="{00000000-0008-0000-0300-000062000000}"/>
              </a:ext>
            </a:extLst>
          </xdr:cNvPr>
          <xdr:cNvSpPr/>
        </xdr:nvSpPr>
        <xdr:spPr>
          <a:xfrm>
            <a:off x="11292400" y="1700225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DC9CB4A2-9B53-43C7-AEC9-6AB31289DAA4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7" textlink="CalPopUp!$D$3">
        <xdr:nvSpPr>
          <xdr:cNvPr id="99" name="17Day">
            <a:extLst>
              <a:ext uri="{FF2B5EF4-FFF2-40B4-BE49-F238E27FC236}">
                <a16:creationId xmlns:a16="http://schemas.microsoft.com/office/drawing/2014/main" id="{00000000-0008-0000-0300-000063000000}"/>
              </a:ext>
            </a:extLst>
          </xdr:cNvPr>
          <xdr:cNvSpPr/>
        </xdr:nvSpPr>
        <xdr:spPr>
          <a:xfrm>
            <a:off x="11815177" y="1700225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6075F426-C444-4D91-BAC2-C282CDD154E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11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0" textlink="CalPopUp!$G$3">
        <xdr:nvSpPr>
          <xdr:cNvPr id="100" name="20Day">
            <a:extLst>
              <a:ext uri="{FF2B5EF4-FFF2-40B4-BE49-F238E27FC236}">
                <a16:creationId xmlns:a16="http://schemas.microsoft.com/office/drawing/2014/main" id="{00000000-0008-0000-0300-000064000000}"/>
              </a:ext>
            </a:extLst>
          </xdr:cNvPr>
          <xdr:cNvSpPr/>
        </xdr:nvSpPr>
        <xdr:spPr>
          <a:xfrm>
            <a:off x="12598831" y="1700225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713B335-B746-4F18-A65A-9DE2CB9A16C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14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1" textlink="CalPopUp!$H$3">
        <xdr:nvSpPr>
          <xdr:cNvPr id="101" name="21Day">
            <a:extLst>
              <a:ext uri="{FF2B5EF4-FFF2-40B4-BE49-F238E27FC236}">
                <a16:creationId xmlns:a16="http://schemas.microsoft.com/office/drawing/2014/main" id="{00000000-0008-0000-0300-000065000000}"/>
              </a:ext>
            </a:extLst>
          </xdr:cNvPr>
          <xdr:cNvSpPr/>
        </xdr:nvSpPr>
        <xdr:spPr>
          <a:xfrm>
            <a:off x="12859594" y="1700225"/>
            <a:ext cx="25922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194884F0-BD0A-4A35-848B-4C6345FD6C1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15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8" textlink="CalPopUp!$E$3">
        <xdr:nvSpPr>
          <xdr:cNvPr id="102" name="18Day">
            <a:extLst>
              <a:ext uri="{FF2B5EF4-FFF2-40B4-BE49-F238E27FC236}">
                <a16:creationId xmlns:a16="http://schemas.microsoft.com/office/drawing/2014/main" id="{00000000-0008-0000-0300-000066000000}"/>
              </a:ext>
            </a:extLst>
          </xdr:cNvPr>
          <xdr:cNvSpPr/>
        </xdr:nvSpPr>
        <xdr:spPr>
          <a:xfrm>
            <a:off x="12077143" y="1700225"/>
            <a:ext cx="253803" cy="188408"/>
          </a:xfrm>
          <a:prstGeom prst="rect">
            <a:avLst/>
          </a:prstGeom>
          <a:solidFill>
            <a:srgbClr val="FCD5B4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A84785E7-E675-4A05-8F96-9398421591AA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12</a:t>
            </a:fld>
            <a:endParaRPr lang="en-US" sz="900" b="1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6" textlink="CalPopUp!$C$3">
        <xdr:nvSpPr>
          <xdr:cNvPr id="103" name="16Day">
            <a:extLst>
              <a:ext uri="{FF2B5EF4-FFF2-40B4-BE49-F238E27FC236}">
                <a16:creationId xmlns:a16="http://schemas.microsoft.com/office/drawing/2014/main" id="{00000000-0008-0000-0300-000067000000}"/>
              </a:ext>
            </a:extLst>
          </xdr:cNvPr>
          <xdr:cNvSpPr/>
        </xdr:nvSpPr>
        <xdr:spPr>
          <a:xfrm>
            <a:off x="11552941" y="1700225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7878243-D425-4DCE-BE38-4BA946009FA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10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9" textlink="CalPopUp!$F$3">
        <xdr:nvSpPr>
          <xdr:cNvPr id="104" name="19Day">
            <a:extLst>
              <a:ext uri="{FF2B5EF4-FFF2-40B4-BE49-F238E27FC236}">
                <a16:creationId xmlns:a16="http://schemas.microsoft.com/office/drawing/2014/main" id="{00000000-0008-0000-0300-000068000000}"/>
              </a:ext>
            </a:extLst>
          </xdr:cNvPr>
          <xdr:cNvSpPr/>
        </xdr:nvSpPr>
        <xdr:spPr>
          <a:xfrm>
            <a:off x="12335138" y="1700225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57162E37-4388-4323-8131-A3001523EA5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13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2" textlink="CalPopUp!$B$4">
        <xdr:nvSpPr>
          <xdr:cNvPr id="105" name="22Day">
            <a:extLst>
              <a:ext uri="{FF2B5EF4-FFF2-40B4-BE49-F238E27FC236}">
                <a16:creationId xmlns:a16="http://schemas.microsoft.com/office/drawing/2014/main" id="{00000000-0008-0000-0300-000069000000}"/>
              </a:ext>
            </a:extLst>
          </xdr:cNvPr>
          <xdr:cNvSpPr/>
        </xdr:nvSpPr>
        <xdr:spPr>
          <a:xfrm>
            <a:off x="11292400" y="1893811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85489BBF-C6DE-40FD-BE27-149AFB66A9F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16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4" textlink="CalPopUp!$D$4">
        <xdr:nvSpPr>
          <xdr:cNvPr id="106" name="24Day">
            <a:extLst>
              <a:ext uri="{FF2B5EF4-FFF2-40B4-BE49-F238E27FC236}">
                <a16:creationId xmlns:a16="http://schemas.microsoft.com/office/drawing/2014/main" id="{00000000-0008-0000-0300-00006A000000}"/>
              </a:ext>
            </a:extLst>
          </xdr:cNvPr>
          <xdr:cNvSpPr/>
        </xdr:nvSpPr>
        <xdr:spPr>
          <a:xfrm>
            <a:off x="11815177" y="1893811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09D3318-3638-4FB3-8118-698FA07BFD3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18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6" textlink="CalPopUp!$F$4">
        <xdr:nvSpPr>
          <xdr:cNvPr id="107" name="26Day">
            <a:extLst>
              <a:ext uri="{FF2B5EF4-FFF2-40B4-BE49-F238E27FC236}">
                <a16:creationId xmlns:a16="http://schemas.microsoft.com/office/drawing/2014/main" id="{00000000-0008-0000-0300-00006B000000}"/>
              </a:ext>
            </a:extLst>
          </xdr:cNvPr>
          <xdr:cNvSpPr/>
        </xdr:nvSpPr>
        <xdr:spPr>
          <a:xfrm>
            <a:off x="12335138" y="1893811"/>
            <a:ext cx="25922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623D9AA-38B3-4770-9BDF-80A59E679FA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20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7" textlink="CalPopUp!$G$4">
        <xdr:nvSpPr>
          <xdr:cNvPr id="108" name="27Day">
            <a:extLst>
              <a:ext uri="{FF2B5EF4-FFF2-40B4-BE49-F238E27FC236}">
                <a16:creationId xmlns:a16="http://schemas.microsoft.com/office/drawing/2014/main" id="{00000000-0008-0000-0300-00006C000000}"/>
              </a:ext>
            </a:extLst>
          </xdr:cNvPr>
          <xdr:cNvSpPr/>
        </xdr:nvSpPr>
        <xdr:spPr>
          <a:xfrm>
            <a:off x="12598831" y="1893811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2644C7E-CB89-44A7-9A2A-D0CC7103FEC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5" textlink="CalPopUp!$E$4">
        <xdr:nvSpPr>
          <xdr:cNvPr id="109" name="25Day">
            <a:extLst>
              <a:ext uri="{FF2B5EF4-FFF2-40B4-BE49-F238E27FC236}">
                <a16:creationId xmlns:a16="http://schemas.microsoft.com/office/drawing/2014/main" id="{00000000-0008-0000-0300-00006D000000}"/>
              </a:ext>
            </a:extLst>
          </xdr:cNvPr>
          <xdr:cNvSpPr/>
        </xdr:nvSpPr>
        <xdr:spPr>
          <a:xfrm>
            <a:off x="12077143" y="1893811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A4FD1A6-50D1-41B5-81F3-CAF819B4EB9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3" textlink="CalPopUp!$C$4">
        <xdr:nvSpPr>
          <xdr:cNvPr id="110" name="23Day">
            <a:extLst>
              <a:ext uri="{FF2B5EF4-FFF2-40B4-BE49-F238E27FC236}">
                <a16:creationId xmlns:a16="http://schemas.microsoft.com/office/drawing/2014/main" id="{00000000-0008-0000-0300-00006E000000}"/>
              </a:ext>
            </a:extLst>
          </xdr:cNvPr>
          <xdr:cNvSpPr/>
        </xdr:nvSpPr>
        <xdr:spPr>
          <a:xfrm>
            <a:off x="11552941" y="1893811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576FF13-8EEA-4144-8295-559970E47CF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17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8" textlink="CalPopUp!$H$4">
        <xdr:nvSpPr>
          <xdr:cNvPr id="111" name="28Day">
            <a:extLst>
              <a:ext uri="{FF2B5EF4-FFF2-40B4-BE49-F238E27FC236}">
                <a16:creationId xmlns:a16="http://schemas.microsoft.com/office/drawing/2014/main" id="{00000000-0008-0000-0300-00006F000000}"/>
              </a:ext>
            </a:extLst>
          </xdr:cNvPr>
          <xdr:cNvSpPr/>
        </xdr:nvSpPr>
        <xdr:spPr>
          <a:xfrm>
            <a:off x="12859594" y="1893811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47E1BA6-F160-45AB-9254-3993545BC78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22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9" textlink="CalPopUp!$B$5">
        <xdr:nvSpPr>
          <xdr:cNvPr id="112" name="29Day">
            <a:extLst>
              <a:ext uri="{FF2B5EF4-FFF2-40B4-BE49-F238E27FC236}">
                <a16:creationId xmlns:a16="http://schemas.microsoft.com/office/drawing/2014/main" id="{00000000-0008-0000-0300-000070000000}"/>
              </a:ext>
            </a:extLst>
          </xdr:cNvPr>
          <xdr:cNvSpPr/>
        </xdr:nvSpPr>
        <xdr:spPr>
          <a:xfrm>
            <a:off x="11292400" y="2088355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31B8929-CE24-4A43-B4F8-0E0FD58236E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23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1" textlink="CalPopUp!$D$5">
        <xdr:nvSpPr>
          <xdr:cNvPr id="113" name="31Day">
            <a:extLst>
              <a:ext uri="{FF2B5EF4-FFF2-40B4-BE49-F238E27FC236}">
                <a16:creationId xmlns:a16="http://schemas.microsoft.com/office/drawing/2014/main" id="{00000000-0008-0000-0300-000071000000}"/>
              </a:ext>
            </a:extLst>
          </xdr:cNvPr>
          <xdr:cNvSpPr/>
        </xdr:nvSpPr>
        <xdr:spPr>
          <a:xfrm>
            <a:off x="11815177" y="2088355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C7CAE85F-8E01-4545-B722-A2203179350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25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4" textlink="CalPopUp!$G$5">
        <xdr:nvSpPr>
          <xdr:cNvPr id="114" name="34Day">
            <a:extLst>
              <a:ext uri="{FF2B5EF4-FFF2-40B4-BE49-F238E27FC236}">
                <a16:creationId xmlns:a16="http://schemas.microsoft.com/office/drawing/2014/main" id="{00000000-0008-0000-0300-000072000000}"/>
              </a:ext>
            </a:extLst>
          </xdr:cNvPr>
          <xdr:cNvSpPr/>
        </xdr:nvSpPr>
        <xdr:spPr>
          <a:xfrm>
            <a:off x="12600330" y="2088355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D73B510-228D-4B51-8C54-5ECD9AE35CF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28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5" textlink="CalPopUp!$H$5">
        <xdr:nvSpPr>
          <xdr:cNvPr id="115" name="35Day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SpPr/>
        </xdr:nvSpPr>
        <xdr:spPr>
          <a:xfrm>
            <a:off x="12861093" y="2088355"/>
            <a:ext cx="25922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37BF2983-5A8E-40F3-9870-C183B477F205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2" textlink="CalPopUp!$E$5">
        <xdr:nvSpPr>
          <xdr:cNvPr id="116" name="32Day">
            <a:extLst>
              <a:ext uri="{FF2B5EF4-FFF2-40B4-BE49-F238E27FC236}">
                <a16:creationId xmlns:a16="http://schemas.microsoft.com/office/drawing/2014/main" id="{00000000-0008-0000-0300-000074000000}"/>
              </a:ext>
            </a:extLst>
          </xdr:cNvPr>
          <xdr:cNvSpPr/>
        </xdr:nvSpPr>
        <xdr:spPr>
          <a:xfrm>
            <a:off x="12077143" y="2088355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0B25F98-51CF-4E81-A052-D2869A6F062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26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0" textlink="CalPopUp!$C$5">
        <xdr:nvSpPr>
          <xdr:cNvPr id="117" name="30Day">
            <a:extLst>
              <a:ext uri="{FF2B5EF4-FFF2-40B4-BE49-F238E27FC236}">
                <a16:creationId xmlns:a16="http://schemas.microsoft.com/office/drawing/2014/main" id="{00000000-0008-0000-0300-000075000000}"/>
              </a:ext>
            </a:extLst>
          </xdr:cNvPr>
          <xdr:cNvSpPr/>
        </xdr:nvSpPr>
        <xdr:spPr>
          <a:xfrm>
            <a:off x="11552941" y="2088355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C6BA189-5EB2-47DD-907C-6F8AF4F839B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24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3" textlink="CalPopUp!$F$5">
        <xdr:nvSpPr>
          <xdr:cNvPr id="118" name="33Day">
            <a:extLst>
              <a:ext uri="{FF2B5EF4-FFF2-40B4-BE49-F238E27FC236}">
                <a16:creationId xmlns:a16="http://schemas.microsoft.com/office/drawing/2014/main" id="{00000000-0008-0000-0300-000076000000}"/>
              </a:ext>
            </a:extLst>
          </xdr:cNvPr>
          <xdr:cNvSpPr/>
        </xdr:nvSpPr>
        <xdr:spPr>
          <a:xfrm>
            <a:off x="12336637" y="2088355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B34EE7E-F7B1-4927-9B2F-663C4A606EF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27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" textlink="">
        <xdr:nvSpPr>
          <xdr:cNvPr id="119" name="Sa">
            <a:extLst>
              <a:ext uri="{FF2B5EF4-FFF2-40B4-BE49-F238E27FC236}">
                <a16:creationId xmlns:a16="http://schemas.microsoft.com/office/drawing/2014/main" id="{00000000-0008-0000-0300-000077000000}"/>
              </a:ext>
            </a:extLst>
          </xdr:cNvPr>
          <xdr:cNvSpPr/>
        </xdr:nvSpPr>
        <xdr:spPr>
          <a:xfrm>
            <a:off x="12860986" y="1116448"/>
            <a:ext cx="258725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Sa</a:t>
            </a:r>
          </a:p>
        </xdr:txBody>
      </xdr:sp>
      <xdr:sp macro="" textlink="">
        <xdr:nvSpPr>
          <xdr:cNvPr id="120" name="Fr">
            <a:extLst>
              <a:ext uri="{FF2B5EF4-FFF2-40B4-BE49-F238E27FC236}">
                <a16:creationId xmlns:a16="http://schemas.microsoft.com/office/drawing/2014/main" id="{00000000-0008-0000-0300-000078000000}"/>
              </a:ext>
            </a:extLst>
          </xdr:cNvPr>
          <xdr:cNvSpPr/>
        </xdr:nvSpPr>
        <xdr:spPr>
          <a:xfrm>
            <a:off x="12600223" y="1116448"/>
            <a:ext cx="253803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Fr</a:t>
            </a:r>
          </a:p>
        </xdr:txBody>
      </xdr:sp>
      <xdr:sp macro="" textlink="">
        <xdr:nvSpPr>
          <xdr:cNvPr id="121" name="Th">
            <a:extLst>
              <a:ext uri="{FF2B5EF4-FFF2-40B4-BE49-F238E27FC236}">
                <a16:creationId xmlns:a16="http://schemas.microsoft.com/office/drawing/2014/main" id="{00000000-0008-0000-0300-000079000000}"/>
              </a:ext>
            </a:extLst>
          </xdr:cNvPr>
          <xdr:cNvSpPr/>
        </xdr:nvSpPr>
        <xdr:spPr>
          <a:xfrm>
            <a:off x="12335667" y="1116448"/>
            <a:ext cx="259587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Th</a:t>
            </a:r>
          </a:p>
        </xdr:txBody>
      </xdr:sp>
      <xdr:sp macro="" textlink="">
        <xdr:nvSpPr>
          <xdr:cNvPr id="122" name="We">
            <a:extLst>
              <a:ext uri="{FF2B5EF4-FFF2-40B4-BE49-F238E27FC236}">
                <a16:creationId xmlns:a16="http://schemas.microsoft.com/office/drawing/2014/main" id="{00000000-0008-0000-0300-00007A000000}"/>
              </a:ext>
            </a:extLst>
          </xdr:cNvPr>
          <xdr:cNvSpPr/>
        </xdr:nvSpPr>
        <xdr:spPr>
          <a:xfrm>
            <a:off x="12078534" y="1116448"/>
            <a:ext cx="252941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WeW</a:t>
            </a:r>
          </a:p>
        </xdr:txBody>
      </xdr:sp>
      <xdr:sp macro="" textlink="">
        <xdr:nvSpPr>
          <xdr:cNvPr id="123" name="Tu">
            <a:extLst>
              <a:ext uri="{FF2B5EF4-FFF2-40B4-BE49-F238E27FC236}">
                <a16:creationId xmlns:a16="http://schemas.microsoft.com/office/drawing/2014/main" id="{00000000-0008-0000-0300-00007B000000}"/>
              </a:ext>
            </a:extLst>
          </xdr:cNvPr>
          <xdr:cNvSpPr/>
        </xdr:nvSpPr>
        <xdr:spPr>
          <a:xfrm>
            <a:off x="11815707" y="1116448"/>
            <a:ext cx="256585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Tu</a:t>
            </a:r>
          </a:p>
        </xdr:txBody>
      </xdr:sp>
      <xdr:sp macro="" textlink="">
        <xdr:nvSpPr>
          <xdr:cNvPr id="124" name="Mo">
            <a:extLst>
              <a:ext uri="{FF2B5EF4-FFF2-40B4-BE49-F238E27FC236}">
                <a16:creationId xmlns:a16="http://schemas.microsoft.com/office/drawing/2014/main" id="{00000000-0008-0000-0300-00007C000000}"/>
              </a:ext>
            </a:extLst>
          </xdr:cNvPr>
          <xdr:cNvSpPr/>
        </xdr:nvSpPr>
        <xdr:spPr>
          <a:xfrm>
            <a:off x="11554332" y="1116448"/>
            <a:ext cx="252942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l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Mo</a:t>
            </a:r>
          </a:p>
        </xdr:txBody>
      </xdr:sp>
      <xdr:sp macro="" textlink="">
        <xdr:nvSpPr>
          <xdr:cNvPr id="125" name="Su">
            <a:extLst>
              <a:ext uri="{FF2B5EF4-FFF2-40B4-BE49-F238E27FC236}">
                <a16:creationId xmlns:a16="http://schemas.microsoft.com/office/drawing/2014/main" id="{00000000-0008-0000-0300-00007D000000}"/>
              </a:ext>
            </a:extLst>
          </xdr:cNvPr>
          <xdr:cNvSpPr/>
        </xdr:nvSpPr>
        <xdr:spPr>
          <a:xfrm>
            <a:off x="11293791" y="1116448"/>
            <a:ext cx="254654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Su</a:t>
            </a:r>
          </a:p>
        </xdr:txBody>
      </xdr:sp>
      <xdr:pic macro="ShowSettings">
        <xdr:nvPicPr>
          <xdr:cNvPr id="126" name="SetBtn">
            <a:extLst>
              <a:ext uri="{FF2B5EF4-FFF2-40B4-BE49-F238E27FC236}">
                <a16:creationId xmlns:a16="http://schemas.microsoft.com/office/drawing/2014/main" id="{00000000-0008-0000-0300-00007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44636" y="2516822"/>
            <a:ext cx="133992" cy="141622"/>
          </a:xfrm>
          <a:prstGeom prst="rect">
            <a:avLst/>
          </a:prstGeom>
        </xdr:spPr>
      </xdr:pic>
      <xdr:sp macro="CalCol1" textlink="">
        <xdr:nvSpPr>
          <xdr:cNvPr id="127" name="CalCol1">
            <a:extLst>
              <a:ext uri="{FF2B5EF4-FFF2-40B4-BE49-F238E27FC236}">
                <a16:creationId xmlns:a16="http://schemas.microsoft.com/office/drawing/2014/main" id="{00000000-0008-0000-0300-00007F000000}"/>
              </a:ext>
            </a:extLst>
          </xdr:cNvPr>
          <xdr:cNvSpPr/>
        </xdr:nvSpPr>
        <xdr:spPr>
          <a:xfrm>
            <a:off x="11272746" y="2737330"/>
            <a:ext cx="126984" cy="130839"/>
          </a:xfrm>
          <a:prstGeom prst="ellipse">
            <a:avLst/>
          </a:prstGeom>
          <a:solidFill>
            <a:srgbClr val="EAEAEA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2" textlink="">
        <xdr:nvSpPr>
          <xdr:cNvPr id="128" name="CalCol2">
            <a:extLst>
              <a:ext uri="{FF2B5EF4-FFF2-40B4-BE49-F238E27FC236}">
                <a16:creationId xmlns:a16="http://schemas.microsoft.com/office/drawing/2014/main" id="{00000000-0008-0000-0300-000080000000}"/>
              </a:ext>
            </a:extLst>
          </xdr:cNvPr>
          <xdr:cNvSpPr/>
        </xdr:nvSpPr>
        <xdr:spPr>
          <a:xfrm>
            <a:off x="11492620" y="2737330"/>
            <a:ext cx="126984" cy="130839"/>
          </a:xfrm>
          <a:prstGeom prst="ellipse">
            <a:avLst/>
          </a:prstGeom>
          <a:solidFill>
            <a:schemeClr val="bg2">
              <a:lumMod val="75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3" textlink="">
        <xdr:nvSpPr>
          <xdr:cNvPr id="129" name="CalCol3">
            <a:extLst>
              <a:ext uri="{FF2B5EF4-FFF2-40B4-BE49-F238E27FC236}">
                <a16:creationId xmlns:a16="http://schemas.microsoft.com/office/drawing/2014/main" id="{00000000-0008-0000-0300-000081000000}"/>
              </a:ext>
            </a:extLst>
          </xdr:cNvPr>
          <xdr:cNvSpPr/>
        </xdr:nvSpPr>
        <xdr:spPr>
          <a:xfrm>
            <a:off x="11712493" y="2737330"/>
            <a:ext cx="127804" cy="130839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4" textlink="">
        <xdr:nvSpPr>
          <xdr:cNvPr id="130" name="CalCol4">
            <a:extLst>
              <a:ext uri="{FF2B5EF4-FFF2-40B4-BE49-F238E27FC236}">
                <a16:creationId xmlns:a16="http://schemas.microsoft.com/office/drawing/2014/main" id="{00000000-0008-0000-0300-000082000000}"/>
              </a:ext>
            </a:extLst>
          </xdr:cNvPr>
          <xdr:cNvSpPr/>
        </xdr:nvSpPr>
        <xdr:spPr>
          <a:xfrm>
            <a:off x="11933186" y="2737330"/>
            <a:ext cx="126984" cy="130839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5" textlink="">
        <xdr:nvSpPr>
          <xdr:cNvPr id="131" name="CalCol5">
            <a:extLst>
              <a:ext uri="{FF2B5EF4-FFF2-40B4-BE49-F238E27FC236}">
                <a16:creationId xmlns:a16="http://schemas.microsoft.com/office/drawing/2014/main" id="{00000000-0008-0000-0300-000083000000}"/>
              </a:ext>
            </a:extLst>
          </xdr:cNvPr>
          <xdr:cNvSpPr/>
        </xdr:nvSpPr>
        <xdr:spPr>
          <a:xfrm>
            <a:off x="12153060" y="2737330"/>
            <a:ext cx="126984" cy="130839"/>
          </a:xfrm>
          <a:prstGeom prst="ellipse">
            <a:avLst/>
          </a:prstGeom>
          <a:solidFill>
            <a:schemeClr val="accent2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6" textlink="">
        <xdr:nvSpPr>
          <xdr:cNvPr id="132" name="CalCol6">
            <a:extLst>
              <a:ext uri="{FF2B5EF4-FFF2-40B4-BE49-F238E27FC236}">
                <a16:creationId xmlns:a16="http://schemas.microsoft.com/office/drawing/2014/main" id="{00000000-0008-0000-0300-000084000000}"/>
              </a:ext>
            </a:extLst>
          </xdr:cNvPr>
          <xdr:cNvSpPr/>
        </xdr:nvSpPr>
        <xdr:spPr>
          <a:xfrm>
            <a:off x="12373753" y="2737330"/>
            <a:ext cx="126984" cy="130839"/>
          </a:xfrm>
          <a:prstGeom prst="ellipse">
            <a:avLst/>
          </a:prstGeom>
          <a:solidFill>
            <a:schemeClr val="accent3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7" textlink="">
        <xdr:nvSpPr>
          <xdr:cNvPr id="133" name="CalCol7">
            <a:extLst>
              <a:ext uri="{FF2B5EF4-FFF2-40B4-BE49-F238E27FC236}">
                <a16:creationId xmlns:a16="http://schemas.microsoft.com/office/drawing/2014/main" id="{00000000-0008-0000-0300-000085000000}"/>
              </a:ext>
            </a:extLst>
          </xdr:cNvPr>
          <xdr:cNvSpPr/>
        </xdr:nvSpPr>
        <xdr:spPr>
          <a:xfrm>
            <a:off x="12593627" y="2737330"/>
            <a:ext cx="126984" cy="130839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8" textlink="">
        <xdr:nvSpPr>
          <xdr:cNvPr id="134" name="CalCol8">
            <a:extLst>
              <a:ext uri="{FF2B5EF4-FFF2-40B4-BE49-F238E27FC236}">
                <a16:creationId xmlns:a16="http://schemas.microsoft.com/office/drawing/2014/main" id="{00000000-0008-0000-0300-000086000000}"/>
              </a:ext>
            </a:extLst>
          </xdr:cNvPr>
          <xdr:cNvSpPr/>
        </xdr:nvSpPr>
        <xdr:spPr>
          <a:xfrm>
            <a:off x="12813501" y="2737330"/>
            <a:ext cx="127802" cy="130839"/>
          </a:xfrm>
          <a:prstGeom prst="ellipse">
            <a:avLst/>
          </a:prstGeom>
          <a:solidFill>
            <a:schemeClr val="accent5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9" textlink="">
        <xdr:nvSpPr>
          <xdr:cNvPr id="135" name="CalCol9">
            <a:extLst>
              <a:ext uri="{FF2B5EF4-FFF2-40B4-BE49-F238E27FC236}">
                <a16:creationId xmlns:a16="http://schemas.microsoft.com/office/drawing/2014/main" id="{00000000-0008-0000-0300-000087000000}"/>
              </a:ext>
            </a:extLst>
          </xdr:cNvPr>
          <xdr:cNvSpPr/>
        </xdr:nvSpPr>
        <xdr:spPr>
          <a:xfrm>
            <a:off x="13034194" y="2737330"/>
            <a:ext cx="126984" cy="130839"/>
          </a:xfrm>
          <a:prstGeom prst="ellipse">
            <a:avLst/>
          </a:prstGeom>
          <a:solidFill>
            <a:schemeClr val="accent6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36" name="PrevMonth">
            <a:extLst>
              <a:ext uri="{FF2B5EF4-FFF2-40B4-BE49-F238E27FC236}">
                <a16:creationId xmlns:a16="http://schemas.microsoft.com/office/drawing/2014/main" id="{00000000-0008-0000-0300-000088000000}"/>
              </a:ext>
            </a:extLst>
          </xdr:cNvPr>
          <xdr:cNvGrpSpPr/>
        </xdr:nvGrpSpPr>
        <xdr:grpSpPr>
          <a:xfrm>
            <a:off x="11342450" y="957541"/>
            <a:ext cx="101861" cy="107661"/>
            <a:chOff x="11342450" y="957541"/>
            <a:chExt cx="101861" cy="107661"/>
          </a:xfrm>
        </xdr:grpSpPr>
        <xdr:sp macro="PrevMonth" textlink="">
          <xdr:nvSpPr>
            <xdr:cNvPr id="140" name="PrevRec">
              <a:extLst>
                <a:ext uri="{FF2B5EF4-FFF2-40B4-BE49-F238E27FC236}">
                  <a16:creationId xmlns:a16="http://schemas.microsoft.com/office/drawing/2014/main" id="{00000000-0008-0000-0300-00008C000000}"/>
                </a:ext>
              </a:extLst>
            </xdr:cNvPr>
            <xdr:cNvSpPr/>
          </xdr:nvSpPr>
          <xdr:spPr>
            <a:xfrm>
              <a:off x="11342450" y="957541"/>
              <a:ext cx="101861" cy="107661"/>
            </a:xfrm>
            <a:prstGeom prst="roundRect">
              <a:avLst/>
            </a:prstGeom>
            <a:solidFill>
              <a:srgbClr val="000000"/>
            </a:solidFill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PrevMonth" textlink="">
          <xdr:nvSpPr>
            <xdr:cNvPr id="141" name="PrevTri">
              <a:extLst>
                <a:ext uri="{FF2B5EF4-FFF2-40B4-BE49-F238E27FC236}">
                  <a16:creationId xmlns:a16="http://schemas.microsoft.com/office/drawing/2014/main" id="{00000000-0008-0000-0300-00008D000000}"/>
                </a:ext>
              </a:extLst>
            </xdr:cNvPr>
            <xdr:cNvSpPr/>
          </xdr:nvSpPr>
          <xdr:spPr>
            <a:xfrm rot="16200000">
              <a:off x="11352234" y="984181"/>
              <a:ext cx="71489" cy="54381"/>
            </a:xfrm>
            <a:prstGeom prst="triangle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</xdr:grpSp>
      <xdr:grpSp>
        <xdr:nvGrpSpPr>
          <xdr:cNvPr id="137" name="NextMonth">
            <a:extLst>
              <a:ext uri="{FF2B5EF4-FFF2-40B4-BE49-F238E27FC236}">
                <a16:creationId xmlns:a16="http://schemas.microsoft.com/office/drawing/2014/main" id="{00000000-0008-0000-0300-000089000000}"/>
              </a:ext>
            </a:extLst>
          </xdr:cNvPr>
          <xdr:cNvGrpSpPr/>
        </xdr:nvGrpSpPr>
        <xdr:grpSpPr>
          <a:xfrm>
            <a:off x="12986735" y="957541"/>
            <a:ext cx="101861" cy="107661"/>
            <a:chOff x="12986735" y="957541"/>
            <a:chExt cx="101861" cy="107661"/>
          </a:xfrm>
        </xdr:grpSpPr>
        <xdr:sp macro="NextMonth" textlink="">
          <xdr:nvSpPr>
            <xdr:cNvPr id="138" name="NextRec">
              <a:extLst>
                <a:ext uri="{FF2B5EF4-FFF2-40B4-BE49-F238E27FC236}">
                  <a16:creationId xmlns:a16="http://schemas.microsoft.com/office/drawing/2014/main" id="{00000000-0008-0000-0300-00008A000000}"/>
                </a:ext>
              </a:extLst>
            </xdr:cNvPr>
            <xdr:cNvSpPr/>
          </xdr:nvSpPr>
          <xdr:spPr>
            <a:xfrm>
              <a:off x="12986735" y="957541"/>
              <a:ext cx="101861" cy="107661"/>
            </a:xfrm>
            <a:prstGeom prst="roundRect">
              <a:avLst/>
            </a:prstGeom>
            <a:solidFill>
              <a:srgbClr val="000000"/>
            </a:solidFill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NextMonth" textlink="">
          <xdr:nvSpPr>
            <xdr:cNvPr id="139" name="NextTri">
              <a:extLst>
                <a:ext uri="{FF2B5EF4-FFF2-40B4-BE49-F238E27FC236}">
                  <a16:creationId xmlns:a16="http://schemas.microsoft.com/office/drawing/2014/main" id="{00000000-0008-0000-0300-00008B000000}"/>
                </a:ext>
              </a:extLst>
            </xdr:cNvPr>
            <xdr:cNvSpPr/>
          </xdr:nvSpPr>
          <xdr:spPr>
            <a:xfrm rot="5400000">
              <a:off x="13005360" y="984181"/>
              <a:ext cx="71489" cy="54381"/>
            </a:xfrm>
            <a:prstGeom prst="triangle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</xdr:grp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T264"/>
  <sheetViews>
    <sheetView tabSelected="1" topLeftCell="B1" zoomScaleNormal="100" workbookViewId="0">
      <selection activeCell="J2" sqref="J2:X2"/>
    </sheetView>
  </sheetViews>
  <sheetFormatPr defaultRowHeight="15" x14ac:dyDescent="0.25"/>
  <cols>
    <col min="1" max="1" width="9.28515625" bestFit="1" customWidth="1"/>
    <col min="2" max="2" width="8.42578125" customWidth="1"/>
    <col min="3" max="3" width="2.140625" customWidth="1"/>
    <col min="4" max="4" width="11.7109375" customWidth="1"/>
    <col min="5" max="66" width="2.42578125" customWidth="1"/>
    <col min="68" max="68" width="30.85546875" customWidth="1"/>
    <col min="70" max="70" width="20.85546875" bestFit="1" customWidth="1"/>
    <col min="71" max="71" width="14.140625" bestFit="1" customWidth="1"/>
  </cols>
  <sheetData>
    <row r="1" spans="1:72" ht="37.5" customHeight="1" x14ac:dyDescent="0.25">
      <c r="A1" s="33"/>
      <c r="B1" s="33"/>
      <c r="C1" s="2"/>
      <c r="D1" s="90" t="s">
        <v>8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0"/>
      <c r="BO1" s="90"/>
      <c r="BP1" s="2"/>
    </row>
    <row r="2" spans="1:72" ht="19.5" customHeight="1" x14ac:dyDescent="0.25">
      <c r="A2" s="27" t="s">
        <v>17</v>
      </c>
      <c r="B2" s="34" t="b">
        <v>0</v>
      </c>
      <c r="C2" s="3"/>
      <c r="D2" s="3"/>
      <c r="E2" s="101" t="s">
        <v>11</v>
      </c>
      <c r="F2" s="102"/>
      <c r="G2" s="102"/>
      <c r="H2" s="102"/>
      <c r="I2" s="103"/>
      <c r="J2" s="93" t="s">
        <v>91</v>
      </c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5"/>
      <c r="Y2" s="98" t="s">
        <v>12</v>
      </c>
      <c r="Z2" s="99"/>
      <c r="AA2" s="99"/>
      <c r="AB2" s="99"/>
      <c r="AC2" s="99"/>
      <c r="AD2" s="100"/>
      <c r="AE2" s="93" t="s">
        <v>31</v>
      </c>
      <c r="AF2" s="94"/>
      <c r="AG2" s="94"/>
      <c r="AH2" s="94"/>
      <c r="AI2" s="95"/>
      <c r="AJ2" s="107" t="str">
        <f ca="1">IFERROR(INDEX(RoomTypes,MATCH(AE2,RoomNumbers,0),1),"")</f>
        <v>Standard City View</v>
      </c>
      <c r="AK2" s="108"/>
      <c r="AL2" s="108"/>
      <c r="AM2" s="108"/>
      <c r="AN2" s="108"/>
      <c r="AO2" s="108"/>
      <c r="AP2" s="108"/>
      <c r="AQ2" s="108"/>
      <c r="AR2" s="108"/>
      <c r="AS2" s="109"/>
      <c r="AT2" s="98" t="s">
        <v>4</v>
      </c>
      <c r="AU2" s="99"/>
      <c r="AV2" s="99"/>
      <c r="AW2" s="100"/>
      <c r="AX2" s="110">
        <v>44044</v>
      </c>
      <c r="AY2" s="111"/>
      <c r="AZ2" s="111"/>
      <c r="BA2" s="111"/>
      <c r="BB2" s="111"/>
      <c r="BC2" s="112"/>
      <c r="BD2" s="98" t="s">
        <v>5</v>
      </c>
      <c r="BE2" s="99"/>
      <c r="BF2" s="99"/>
      <c r="BG2" s="99"/>
      <c r="BH2" s="100"/>
      <c r="BI2" s="110">
        <v>44052</v>
      </c>
      <c r="BJ2" s="111"/>
      <c r="BK2" s="111"/>
      <c r="BL2" s="111"/>
      <c r="BM2" s="111"/>
      <c r="BN2" s="112"/>
      <c r="BO2" s="80" t="s">
        <v>88</v>
      </c>
      <c r="BP2" s="3"/>
    </row>
    <row r="3" spans="1:72" ht="7.5" customHeight="1" x14ac:dyDescent="0.25">
      <c r="A3" s="1"/>
      <c r="B3" s="35"/>
      <c r="C3" s="4"/>
      <c r="D3" s="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4"/>
      <c r="BP3" s="4"/>
    </row>
    <row r="4" spans="1:72" ht="19.5" customHeight="1" x14ac:dyDescent="0.25">
      <c r="A4" s="27" t="s">
        <v>18</v>
      </c>
      <c r="B4" s="34">
        <v>5</v>
      </c>
      <c r="C4" s="4"/>
      <c r="D4" s="4"/>
      <c r="E4" s="104" t="s">
        <v>14</v>
      </c>
      <c r="F4" s="105"/>
      <c r="G4" s="105"/>
      <c r="H4" s="105"/>
      <c r="I4" s="106"/>
      <c r="J4" s="93">
        <v>2</v>
      </c>
      <c r="K4" s="94"/>
      <c r="L4" s="94"/>
      <c r="M4" s="95"/>
      <c r="N4" s="119" t="s">
        <v>16</v>
      </c>
      <c r="O4" s="120"/>
      <c r="P4" s="120"/>
      <c r="Q4" s="121"/>
      <c r="R4" s="93" t="s">
        <v>22</v>
      </c>
      <c r="S4" s="94"/>
      <c r="T4" s="94"/>
      <c r="U4" s="94"/>
      <c r="V4" s="94"/>
      <c r="W4" s="94"/>
      <c r="X4" s="95"/>
      <c r="Y4" s="119" t="s">
        <v>6</v>
      </c>
      <c r="Z4" s="120"/>
      <c r="AA4" s="120"/>
      <c r="AB4" s="120"/>
      <c r="AC4" s="120"/>
      <c r="AD4" s="120"/>
      <c r="AE4" s="120"/>
      <c r="AF4" s="120"/>
      <c r="AG4" s="121"/>
      <c r="AH4" s="93" t="s">
        <v>92</v>
      </c>
      <c r="AI4" s="94"/>
      <c r="AJ4" s="94"/>
      <c r="AK4" s="94"/>
      <c r="AL4" s="94"/>
      <c r="AM4" s="94"/>
      <c r="AN4" s="94"/>
      <c r="AO4" s="94"/>
      <c r="AP4" s="94"/>
      <c r="AQ4" s="94"/>
      <c r="AR4" s="94"/>
      <c r="AS4" s="94"/>
      <c r="AT4" s="94"/>
      <c r="AU4" s="94"/>
      <c r="AV4" s="94"/>
      <c r="AW4" s="94"/>
      <c r="AX4" s="94"/>
      <c r="AY4" s="94"/>
      <c r="AZ4" s="94"/>
      <c r="BA4" s="94"/>
      <c r="BB4" s="94"/>
      <c r="BC4" s="94"/>
      <c r="BD4" s="94"/>
      <c r="BE4" s="94"/>
      <c r="BF4" s="94"/>
      <c r="BG4" s="94"/>
      <c r="BH4" s="94"/>
      <c r="BI4" s="94"/>
      <c r="BJ4" s="94"/>
      <c r="BK4" s="94"/>
      <c r="BL4" s="94"/>
      <c r="BM4" s="94"/>
      <c r="BN4" s="95"/>
      <c r="BO4" s="4"/>
      <c r="BP4" s="4"/>
    </row>
    <row r="5" spans="1:72" ht="7.5" customHeight="1" x14ac:dyDescent="0.25">
      <c r="A5" s="1"/>
      <c r="B5" s="35"/>
      <c r="C5" s="4"/>
      <c r="D5" s="4"/>
      <c r="E5" s="14"/>
      <c r="F5" s="14"/>
      <c r="G5" s="14"/>
      <c r="H5" s="14"/>
      <c r="I5" s="17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4"/>
      <c r="BP5" s="4"/>
    </row>
    <row r="6" spans="1:72" ht="21.75" customHeight="1" x14ac:dyDescent="0.35">
      <c r="A6" s="27" t="s">
        <v>21</v>
      </c>
      <c r="B6" s="34"/>
      <c r="C6" s="4"/>
      <c r="D6" s="4"/>
      <c r="E6" s="15"/>
      <c r="F6" s="15"/>
      <c r="G6" s="15"/>
      <c r="H6" s="15"/>
      <c r="I6" s="15"/>
      <c r="J6" s="15"/>
      <c r="K6" s="15"/>
      <c r="L6" s="15"/>
      <c r="M6" s="91">
        <v>44044</v>
      </c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2"/>
      <c r="AA6" s="116" t="s">
        <v>15</v>
      </c>
      <c r="AB6" s="117"/>
      <c r="AC6" s="117"/>
      <c r="AD6" s="117"/>
      <c r="AE6" s="117"/>
      <c r="AF6" s="117"/>
      <c r="AG6" s="117"/>
      <c r="AH6" s="118"/>
      <c r="AI6" s="113" t="s">
        <v>26</v>
      </c>
      <c r="AJ6" s="114"/>
      <c r="AK6" s="114"/>
      <c r="AL6" s="114"/>
      <c r="AM6" s="114"/>
      <c r="AN6" s="114"/>
      <c r="AO6" s="114"/>
      <c r="AP6" s="114"/>
      <c r="AQ6" s="114"/>
      <c r="AR6" s="115"/>
      <c r="AS6" s="18"/>
      <c r="AT6" s="18"/>
      <c r="AU6" s="16"/>
      <c r="AV6" s="16"/>
      <c r="AW6" s="16"/>
      <c r="AX6" s="16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4"/>
      <c r="BP6" s="4"/>
    </row>
    <row r="7" spans="1:72" ht="7.5" customHeight="1" x14ac:dyDescent="0.25">
      <c r="A7" s="1"/>
      <c r="B7" s="35"/>
      <c r="C7" s="4"/>
      <c r="D7" s="4"/>
      <c r="E7" s="14"/>
      <c r="F7" s="14"/>
      <c r="G7" s="14"/>
      <c r="H7" s="14"/>
      <c r="I7" s="17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4"/>
      <c r="BP7" s="4"/>
    </row>
    <row r="8" spans="1:72" ht="16.5" x14ac:dyDescent="0.3">
      <c r="A8" s="27" t="s">
        <v>19</v>
      </c>
      <c r="B8" s="34">
        <f ca="1">IFERROR(MATCH(B4,Booking_ID,0)+3,"")</f>
        <v>8</v>
      </c>
      <c r="C8" s="4" t="s">
        <v>0</v>
      </c>
      <c r="D8" s="23" t="s">
        <v>55</v>
      </c>
      <c r="E8" s="88">
        <f>StartDate</f>
        <v>44044</v>
      </c>
      <c r="F8" s="89"/>
      <c r="G8" s="86">
        <f>E8+1</f>
        <v>44045</v>
      </c>
      <c r="H8" s="87"/>
      <c r="I8" s="86">
        <f t="shared" ref="I8" si="0">G8+1</f>
        <v>44046</v>
      </c>
      <c r="J8" s="87"/>
      <c r="K8" s="86">
        <f t="shared" ref="K8" si="1">I8+1</f>
        <v>44047</v>
      </c>
      <c r="L8" s="87"/>
      <c r="M8" s="86">
        <f t="shared" ref="M8" si="2">K8+1</f>
        <v>44048</v>
      </c>
      <c r="N8" s="87"/>
      <c r="O8" s="86">
        <f t="shared" ref="O8" si="3">M8+1</f>
        <v>44049</v>
      </c>
      <c r="P8" s="87"/>
      <c r="Q8" s="86">
        <f t="shared" ref="Q8" si="4">O8+1</f>
        <v>44050</v>
      </c>
      <c r="R8" s="87"/>
      <c r="S8" s="86">
        <f t="shared" ref="S8" si="5">Q8+1</f>
        <v>44051</v>
      </c>
      <c r="T8" s="87"/>
      <c r="U8" s="86">
        <f t="shared" ref="U8" si="6">S8+1</f>
        <v>44052</v>
      </c>
      <c r="V8" s="87"/>
      <c r="W8" s="86">
        <f t="shared" ref="W8" si="7">U8+1</f>
        <v>44053</v>
      </c>
      <c r="X8" s="87"/>
      <c r="Y8" s="86">
        <f t="shared" ref="Y8" si="8">W8+1</f>
        <v>44054</v>
      </c>
      <c r="Z8" s="87"/>
      <c r="AA8" s="86">
        <f t="shared" ref="AA8" si="9">Y8+1</f>
        <v>44055</v>
      </c>
      <c r="AB8" s="87"/>
      <c r="AC8" s="86">
        <f t="shared" ref="AC8" si="10">AA8+1</f>
        <v>44056</v>
      </c>
      <c r="AD8" s="87"/>
      <c r="AE8" s="86">
        <f t="shared" ref="AE8" si="11">AC8+1</f>
        <v>44057</v>
      </c>
      <c r="AF8" s="87"/>
      <c r="AG8" s="86">
        <f t="shared" ref="AG8" si="12">AE8+1</f>
        <v>44058</v>
      </c>
      <c r="AH8" s="87"/>
      <c r="AI8" s="86">
        <f t="shared" ref="AI8" si="13">AG8+1</f>
        <v>44059</v>
      </c>
      <c r="AJ8" s="87"/>
      <c r="AK8" s="86">
        <f t="shared" ref="AK8" si="14">AI8+1</f>
        <v>44060</v>
      </c>
      <c r="AL8" s="87"/>
      <c r="AM8" s="86">
        <f t="shared" ref="AM8" si="15">AK8+1</f>
        <v>44061</v>
      </c>
      <c r="AN8" s="87"/>
      <c r="AO8" s="86">
        <f t="shared" ref="AO8" si="16">AM8+1</f>
        <v>44062</v>
      </c>
      <c r="AP8" s="87"/>
      <c r="AQ8" s="86">
        <f t="shared" ref="AQ8" si="17">AO8+1</f>
        <v>44063</v>
      </c>
      <c r="AR8" s="87"/>
      <c r="AS8" s="86">
        <f t="shared" ref="AS8" si="18">AQ8+1</f>
        <v>44064</v>
      </c>
      <c r="AT8" s="87"/>
      <c r="AU8" s="86">
        <f t="shared" ref="AU8" si="19">AS8+1</f>
        <v>44065</v>
      </c>
      <c r="AV8" s="87"/>
      <c r="AW8" s="86">
        <f t="shared" ref="AW8" si="20">AU8+1</f>
        <v>44066</v>
      </c>
      <c r="AX8" s="87"/>
      <c r="AY8" s="86">
        <f t="shared" ref="AY8" si="21">AW8+1</f>
        <v>44067</v>
      </c>
      <c r="AZ8" s="87"/>
      <c r="BA8" s="86">
        <f t="shared" ref="BA8" si="22">AY8+1</f>
        <v>44068</v>
      </c>
      <c r="BB8" s="87"/>
      <c r="BC8" s="86">
        <f t="shared" ref="BC8" si="23">BA8+1</f>
        <v>44069</v>
      </c>
      <c r="BD8" s="87"/>
      <c r="BE8" s="86">
        <f t="shared" ref="BE8" si="24">BC8+1</f>
        <v>44070</v>
      </c>
      <c r="BF8" s="87"/>
      <c r="BG8" s="86">
        <f t="shared" ref="BG8" si="25">BE8+1</f>
        <v>44071</v>
      </c>
      <c r="BH8" s="87"/>
      <c r="BI8" s="86">
        <f>IF(MONTH(BG8+1)=MONTH(BG8),BG8+1,"")</f>
        <v>44072</v>
      </c>
      <c r="BJ8" s="87"/>
      <c r="BK8" s="86">
        <f>IF(BI8="","",IF(MONTH(BI8+1)=MONTH(BI8),BI8+1,""))</f>
        <v>44073</v>
      </c>
      <c r="BL8" s="87"/>
      <c r="BM8" s="86">
        <f>IF(BK8="","",IF(MONTH(BK8+1)=MONTH(BK8),BK8+1,""))</f>
        <v>44074</v>
      </c>
      <c r="BN8" s="87"/>
      <c r="BO8" s="4"/>
      <c r="BP8" s="4"/>
      <c r="BR8" s="20" t="s">
        <v>25</v>
      </c>
      <c r="BS8" s="96" t="s">
        <v>51</v>
      </c>
      <c r="BT8" s="97"/>
    </row>
    <row r="9" spans="1:72" x14ac:dyDescent="0.25">
      <c r="A9" s="27" t="s">
        <v>20</v>
      </c>
      <c r="B9" s="34">
        <f ca="1">IFERROR(MAX(Booking_ID)+1,1)</f>
        <v>20</v>
      </c>
      <c r="C9" s="4"/>
      <c r="D9" s="40" t="s">
        <v>10</v>
      </c>
      <c r="E9" s="6"/>
      <c r="F9" s="7"/>
      <c r="G9" s="6"/>
      <c r="H9" s="7"/>
      <c r="I9" s="6"/>
      <c r="J9" s="7"/>
      <c r="K9" s="6"/>
      <c r="L9" s="7"/>
      <c r="M9" s="6"/>
      <c r="N9" s="7"/>
      <c r="O9" s="6"/>
      <c r="P9" s="7"/>
      <c r="Q9" s="6"/>
      <c r="R9" s="7"/>
      <c r="S9" s="6"/>
      <c r="T9" s="7"/>
      <c r="U9" s="6"/>
      <c r="V9" s="7"/>
      <c r="W9" s="6"/>
      <c r="X9" s="7"/>
      <c r="Y9" s="6"/>
      <c r="Z9" s="7"/>
      <c r="AA9" s="6"/>
      <c r="AB9" s="7"/>
      <c r="AC9" s="6"/>
      <c r="AD9" s="7"/>
      <c r="AE9" s="6"/>
      <c r="AF9" s="7"/>
      <c r="AG9" s="6"/>
      <c r="AH9" s="7"/>
      <c r="AI9" s="6"/>
      <c r="AJ9" s="7"/>
      <c r="AK9" s="6"/>
      <c r="AL9" s="7"/>
      <c r="AM9" s="6"/>
      <c r="AN9" s="7"/>
      <c r="AO9" s="6"/>
      <c r="AP9" s="7"/>
      <c r="AQ9" s="6"/>
      <c r="AR9" s="7"/>
      <c r="AS9" s="6"/>
      <c r="AT9" s="7"/>
      <c r="AU9" s="6"/>
      <c r="AV9" s="7"/>
      <c r="AW9" s="6"/>
      <c r="AX9" s="7"/>
      <c r="AY9" s="6"/>
      <c r="AZ9" s="7"/>
      <c r="BA9" s="6"/>
      <c r="BB9" s="7"/>
      <c r="BC9" s="6"/>
      <c r="BD9" s="7"/>
      <c r="BE9" s="6"/>
      <c r="BF9" s="7"/>
      <c r="BG9" s="6"/>
      <c r="BH9" s="7"/>
      <c r="BI9" s="6"/>
      <c r="BJ9" s="7"/>
      <c r="BK9" s="6"/>
      <c r="BL9" s="7"/>
      <c r="BM9" s="6"/>
      <c r="BN9" s="7"/>
      <c r="BO9" s="4"/>
      <c r="BP9" s="4"/>
      <c r="BR9" s="19" t="s">
        <v>26</v>
      </c>
      <c r="BS9" s="19" t="s">
        <v>22</v>
      </c>
      <c r="BT9" s="28"/>
    </row>
    <row r="10" spans="1:72" x14ac:dyDescent="0.25">
      <c r="A10" s="82"/>
      <c r="B10" s="83"/>
      <c r="C10" s="4"/>
      <c r="D10" s="41" t="s">
        <v>31</v>
      </c>
      <c r="E10" s="8"/>
      <c r="F10" s="9"/>
      <c r="G10" s="8"/>
      <c r="H10" s="9"/>
      <c r="I10" s="8"/>
      <c r="J10" s="9"/>
      <c r="K10" s="8"/>
      <c r="L10" s="9"/>
      <c r="M10" s="8"/>
      <c r="N10" s="9"/>
      <c r="O10" s="8"/>
      <c r="P10" s="9"/>
      <c r="Q10" s="8"/>
      <c r="R10" s="9"/>
      <c r="S10" s="8"/>
      <c r="T10" s="9"/>
      <c r="U10" s="8"/>
      <c r="V10" s="9"/>
      <c r="W10" s="8"/>
      <c r="X10" s="9"/>
      <c r="Y10" s="8"/>
      <c r="Z10" s="9"/>
      <c r="AA10" s="8"/>
      <c r="AB10" s="9"/>
      <c r="AC10" s="8"/>
      <c r="AD10" s="9"/>
      <c r="AE10" s="8"/>
      <c r="AF10" s="9"/>
      <c r="AG10" s="8"/>
      <c r="AH10" s="9"/>
      <c r="AI10" s="8"/>
      <c r="AJ10" s="9"/>
      <c r="AK10" s="8"/>
      <c r="AL10" s="9"/>
      <c r="AM10" s="8"/>
      <c r="AN10" s="9"/>
      <c r="AO10" s="8"/>
      <c r="AP10" s="9"/>
      <c r="AQ10" s="8"/>
      <c r="AR10" s="9"/>
      <c r="AS10" s="8"/>
      <c r="AT10" s="9"/>
      <c r="AU10" s="8"/>
      <c r="AV10" s="9"/>
      <c r="AW10" s="8"/>
      <c r="AX10" s="9"/>
      <c r="AY10" s="8"/>
      <c r="AZ10" s="9"/>
      <c r="BA10" s="8"/>
      <c r="BB10" s="9"/>
      <c r="BC10" s="8"/>
      <c r="BD10" s="9"/>
      <c r="BE10" s="8"/>
      <c r="BF10" s="9"/>
      <c r="BG10" s="8"/>
      <c r="BH10" s="9"/>
      <c r="BI10" s="8"/>
      <c r="BJ10" s="9"/>
      <c r="BK10" s="8"/>
      <c r="BL10" s="9"/>
      <c r="BM10" s="8"/>
      <c r="BN10" s="9"/>
      <c r="BO10" s="4"/>
      <c r="BP10" s="4"/>
      <c r="BR10" s="19" t="s">
        <v>24</v>
      </c>
      <c r="BS10" s="19" t="s">
        <v>52</v>
      </c>
      <c r="BT10" s="29"/>
    </row>
    <row r="11" spans="1:72" x14ac:dyDescent="0.25">
      <c r="A11" s="84"/>
      <c r="B11" s="85"/>
      <c r="C11" s="4"/>
      <c r="D11" s="41" t="s">
        <v>32</v>
      </c>
      <c r="E11" s="8"/>
      <c r="F11" s="9"/>
      <c r="G11" s="8"/>
      <c r="H11" s="9"/>
      <c r="I11" s="8"/>
      <c r="J11" s="9"/>
      <c r="K11" s="8"/>
      <c r="L11" s="9"/>
      <c r="M11" s="8"/>
      <c r="N11" s="9"/>
      <c r="O11" s="8"/>
      <c r="P11" s="9"/>
      <c r="Q11" s="8"/>
      <c r="R11" s="9"/>
      <c r="S11" s="8"/>
      <c r="T11" s="9"/>
      <c r="U11" s="8"/>
      <c r="V11" s="9"/>
      <c r="W11" s="8"/>
      <c r="X11" s="9"/>
      <c r="Y11" s="8"/>
      <c r="Z11" s="9"/>
      <c r="AA11" s="8"/>
      <c r="AB11" s="9"/>
      <c r="AC11" s="8"/>
      <c r="AD11" s="9"/>
      <c r="AE11" s="8"/>
      <c r="AF11" s="9"/>
      <c r="AG11" s="8"/>
      <c r="AH11" s="9"/>
      <c r="AI11" s="8"/>
      <c r="AJ11" s="9"/>
      <c r="AK11" s="8"/>
      <c r="AL11" s="9"/>
      <c r="AM11" s="8"/>
      <c r="AN11" s="9"/>
      <c r="AO11" s="8"/>
      <c r="AP11" s="9"/>
      <c r="AQ11" s="8"/>
      <c r="AR11" s="9"/>
      <c r="AS11" s="8"/>
      <c r="AT11" s="9"/>
      <c r="AU11" s="8"/>
      <c r="AV11" s="9"/>
      <c r="AW11" s="8"/>
      <c r="AX11" s="9"/>
      <c r="AY11" s="8"/>
      <c r="AZ11" s="9"/>
      <c r="BA11" s="8"/>
      <c r="BB11" s="9"/>
      <c r="BC11" s="8"/>
      <c r="BD11" s="9"/>
      <c r="BE11" s="8"/>
      <c r="BF11" s="9"/>
      <c r="BG11" s="8"/>
      <c r="BH11" s="9"/>
      <c r="BI11" s="8"/>
      <c r="BJ11" s="9"/>
      <c r="BK11" s="8"/>
      <c r="BL11" s="9"/>
      <c r="BM11" s="8"/>
      <c r="BN11" s="9"/>
      <c r="BO11" s="4"/>
      <c r="BP11" s="4"/>
      <c r="BR11" s="19" t="s">
        <v>27</v>
      </c>
      <c r="BS11" s="19" t="s">
        <v>53</v>
      </c>
      <c r="BT11" s="30"/>
    </row>
    <row r="12" spans="1:72" x14ac:dyDescent="0.25">
      <c r="A12" s="46" t="s">
        <v>82</v>
      </c>
      <c r="B12" s="47">
        <v>178.5</v>
      </c>
      <c r="C12" s="4"/>
      <c r="D12" s="41" t="s">
        <v>33</v>
      </c>
      <c r="E12" s="8"/>
      <c r="F12" s="9"/>
      <c r="G12" s="8"/>
      <c r="H12" s="9"/>
      <c r="I12" s="8"/>
      <c r="J12" s="9"/>
      <c r="K12" s="8"/>
      <c r="L12" s="9"/>
      <c r="M12" s="8"/>
      <c r="N12" s="9"/>
      <c r="O12" s="8"/>
      <c r="P12" s="9"/>
      <c r="Q12" s="8"/>
      <c r="R12" s="9"/>
      <c r="S12" s="8"/>
      <c r="T12" s="9"/>
      <c r="U12" s="8"/>
      <c r="V12" s="9"/>
      <c r="W12" s="8"/>
      <c r="X12" s="9"/>
      <c r="Y12" s="8"/>
      <c r="Z12" s="9"/>
      <c r="AA12" s="8"/>
      <c r="AB12" s="9"/>
      <c r="AC12" s="8"/>
      <c r="AD12" s="9"/>
      <c r="AE12" s="8"/>
      <c r="AF12" s="9"/>
      <c r="AG12" s="8"/>
      <c r="AH12" s="9"/>
      <c r="AI12" s="8"/>
      <c r="AJ12" s="9"/>
      <c r="AK12" s="8"/>
      <c r="AL12" s="9"/>
      <c r="AM12" s="8"/>
      <c r="AN12" s="9"/>
      <c r="AO12" s="8"/>
      <c r="AP12" s="9"/>
      <c r="AQ12" s="8"/>
      <c r="AR12" s="9"/>
      <c r="AS12" s="8"/>
      <c r="AT12" s="9"/>
      <c r="AU12" s="8"/>
      <c r="AV12" s="9"/>
      <c r="AW12" s="8"/>
      <c r="AX12" s="9"/>
      <c r="AY12" s="8"/>
      <c r="AZ12" s="9"/>
      <c r="BA12" s="8"/>
      <c r="BB12" s="9"/>
      <c r="BC12" s="8"/>
      <c r="BD12" s="9"/>
      <c r="BE12" s="8"/>
      <c r="BF12" s="9"/>
      <c r="BG12" s="8"/>
      <c r="BH12" s="9"/>
      <c r="BI12" s="8"/>
      <c r="BJ12" s="9"/>
      <c r="BK12" s="8"/>
      <c r="BL12" s="9"/>
      <c r="BM12" s="8"/>
      <c r="BN12" s="9"/>
      <c r="BO12" s="4"/>
      <c r="BP12" s="4"/>
      <c r="BR12" s="19" t="s">
        <v>28</v>
      </c>
      <c r="BS12" s="19" t="s">
        <v>23</v>
      </c>
      <c r="BT12" s="31"/>
    </row>
    <row r="13" spans="1:72" x14ac:dyDescent="0.25">
      <c r="A13" s="46" t="s">
        <v>83</v>
      </c>
      <c r="B13" s="47">
        <v>153.25</v>
      </c>
      <c r="C13" s="4"/>
      <c r="D13" s="41" t="s">
        <v>34</v>
      </c>
      <c r="E13" s="8"/>
      <c r="F13" s="9"/>
      <c r="G13" s="8"/>
      <c r="H13" s="9"/>
      <c r="I13" s="8"/>
      <c r="J13" s="9"/>
      <c r="K13" s="8"/>
      <c r="L13" s="9"/>
      <c r="M13" s="8"/>
      <c r="N13" s="9"/>
      <c r="O13" s="8"/>
      <c r="P13" s="9"/>
      <c r="Q13" s="8"/>
      <c r="R13" s="9"/>
      <c r="S13" s="8"/>
      <c r="T13" s="9"/>
      <c r="U13" s="8"/>
      <c r="V13" s="9"/>
      <c r="W13" s="8"/>
      <c r="X13" s="9"/>
      <c r="Y13" s="8"/>
      <c r="Z13" s="9"/>
      <c r="AA13" s="8"/>
      <c r="AB13" s="9"/>
      <c r="AC13" s="8"/>
      <c r="AD13" s="9"/>
      <c r="AE13" s="8"/>
      <c r="AF13" s="9"/>
      <c r="AG13" s="8"/>
      <c r="AH13" s="9"/>
      <c r="AI13" s="8"/>
      <c r="AJ13" s="9"/>
      <c r="AK13" s="8"/>
      <c r="AL13" s="9"/>
      <c r="AM13" s="8"/>
      <c r="AN13" s="9"/>
      <c r="AO13" s="8"/>
      <c r="AP13" s="9"/>
      <c r="AQ13" s="8"/>
      <c r="AR13" s="9"/>
      <c r="AS13" s="8"/>
      <c r="AT13" s="9"/>
      <c r="AU13" s="8"/>
      <c r="AV13" s="9"/>
      <c r="AW13" s="8"/>
      <c r="AX13" s="9"/>
      <c r="AY13" s="8"/>
      <c r="AZ13" s="9"/>
      <c r="BA13" s="8"/>
      <c r="BB13" s="9"/>
      <c r="BC13" s="8"/>
      <c r="BD13" s="9"/>
      <c r="BE13" s="8"/>
      <c r="BF13" s="9"/>
      <c r="BG13" s="8"/>
      <c r="BH13" s="9"/>
      <c r="BI13" s="8"/>
      <c r="BJ13" s="9"/>
      <c r="BK13" s="8"/>
      <c r="BL13" s="9"/>
      <c r="BM13" s="8"/>
      <c r="BN13" s="9"/>
      <c r="BO13" s="4"/>
      <c r="BP13" s="4"/>
      <c r="BR13" s="19" t="s">
        <v>50</v>
      </c>
      <c r="BS13" s="19" t="s">
        <v>59</v>
      </c>
      <c r="BT13" s="25"/>
    </row>
    <row r="14" spans="1:72" x14ac:dyDescent="0.25">
      <c r="A14" s="46" t="s">
        <v>84</v>
      </c>
      <c r="B14" s="47">
        <v>204</v>
      </c>
      <c r="C14" s="4"/>
      <c r="D14" s="41" t="s">
        <v>35</v>
      </c>
      <c r="E14" s="8"/>
      <c r="F14" s="9"/>
      <c r="G14" s="8"/>
      <c r="H14" s="9"/>
      <c r="I14" s="8"/>
      <c r="J14" s="9"/>
      <c r="K14" s="8"/>
      <c r="L14" s="9"/>
      <c r="M14" s="8"/>
      <c r="N14" s="9"/>
      <c r="O14" s="8"/>
      <c r="P14" s="9"/>
      <c r="Q14" s="8"/>
      <c r="R14" s="9"/>
      <c r="S14" s="8"/>
      <c r="T14" s="9"/>
      <c r="U14" s="8"/>
      <c r="V14" s="9"/>
      <c r="W14" s="8"/>
      <c r="X14" s="9"/>
      <c r="Y14" s="8"/>
      <c r="Z14" s="9"/>
      <c r="AA14" s="8"/>
      <c r="AB14" s="9"/>
      <c r="AC14" s="8"/>
      <c r="AD14" s="9"/>
      <c r="AE14" s="8"/>
      <c r="AF14" s="9"/>
      <c r="AG14" s="8"/>
      <c r="AH14" s="9"/>
      <c r="AI14" s="8"/>
      <c r="AJ14" s="9"/>
      <c r="AK14" s="8"/>
      <c r="AL14" s="9"/>
      <c r="AM14" s="8"/>
      <c r="AN14" s="9"/>
      <c r="AO14" s="8"/>
      <c r="AP14" s="9"/>
      <c r="AQ14" s="8"/>
      <c r="AR14" s="9"/>
      <c r="AS14" s="8"/>
      <c r="AT14" s="9"/>
      <c r="AU14" s="8"/>
      <c r="AV14" s="9"/>
      <c r="AW14" s="8"/>
      <c r="AX14" s="9"/>
      <c r="AY14" s="8"/>
      <c r="AZ14" s="9"/>
      <c r="BA14" s="8"/>
      <c r="BB14" s="9"/>
      <c r="BC14" s="8"/>
      <c r="BD14" s="9"/>
      <c r="BE14" s="8"/>
      <c r="BF14" s="9"/>
      <c r="BG14" s="8"/>
      <c r="BH14" s="9"/>
      <c r="BI14" s="8"/>
      <c r="BJ14" s="9"/>
      <c r="BK14" s="8"/>
      <c r="BL14" s="9"/>
      <c r="BM14" s="8"/>
      <c r="BN14" s="9"/>
      <c r="BO14" s="4"/>
      <c r="BP14" s="4"/>
    </row>
    <row r="15" spans="1:72" x14ac:dyDescent="0.25">
      <c r="A15" s="53" t="s">
        <v>85</v>
      </c>
      <c r="B15" s="79" t="b">
        <f ca="1">IF(COUNTIFS(Booking_Room,AE2,Booking_CheckIn,"&lt;"&amp;BI2,Booking_CheckOut,"&gt;"&amp;AX2)&gt;1,TRUE,FALSE)</f>
        <v>0</v>
      </c>
      <c r="C15" s="4"/>
      <c r="D15" s="41" t="s">
        <v>36</v>
      </c>
      <c r="E15" s="8"/>
      <c r="F15" s="9"/>
      <c r="G15" s="8"/>
      <c r="H15" s="9"/>
      <c r="I15" s="8"/>
      <c r="J15" s="9"/>
      <c r="K15" s="8"/>
      <c r="L15" s="9"/>
      <c r="M15" s="8"/>
      <c r="N15" s="9"/>
      <c r="O15" s="8"/>
      <c r="P15" s="9"/>
      <c r="Q15" s="8"/>
      <c r="R15" s="9"/>
      <c r="S15" s="8"/>
      <c r="T15" s="9"/>
      <c r="U15" s="8"/>
      <c r="V15" s="9"/>
      <c r="W15" s="8"/>
      <c r="X15" s="9"/>
      <c r="Y15" s="8"/>
      <c r="Z15" s="9"/>
      <c r="AA15" s="8"/>
      <c r="AB15" s="9"/>
      <c r="AC15" s="8"/>
      <c r="AD15" s="9"/>
      <c r="AE15" s="8"/>
      <c r="AF15" s="9"/>
      <c r="AG15" s="8"/>
      <c r="AH15" s="9"/>
      <c r="AI15" s="8"/>
      <c r="AJ15" s="9"/>
      <c r="AK15" s="8"/>
      <c r="AL15" s="9"/>
      <c r="AM15" s="8"/>
      <c r="AN15" s="9"/>
      <c r="AO15" s="8"/>
      <c r="AP15" s="9"/>
      <c r="AQ15" s="8"/>
      <c r="AR15" s="9"/>
      <c r="AS15" s="8"/>
      <c r="AT15" s="9"/>
      <c r="AU15" s="8"/>
      <c r="AV15" s="9"/>
      <c r="AW15" s="8"/>
      <c r="AX15" s="9"/>
      <c r="AY15" s="8"/>
      <c r="AZ15" s="9"/>
      <c r="BA15" s="8"/>
      <c r="BB15" s="9"/>
      <c r="BC15" s="8"/>
      <c r="BD15" s="9"/>
      <c r="BE15" s="8"/>
      <c r="BF15" s="9"/>
      <c r="BG15" s="8"/>
      <c r="BH15" s="9"/>
      <c r="BI15" s="8"/>
      <c r="BJ15" s="9"/>
      <c r="BK15" s="8"/>
      <c r="BL15" s="9"/>
      <c r="BM15" s="8"/>
      <c r="BN15" s="9"/>
      <c r="BO15" s="4"/>
      <c r="BP15" s="4"/>
    </row>
    <row r="16" spans="1:72" x14ac:dyDescent="0.25">
      <c r="A16" s="1"/>
      <c r="B16" s="1"/>
      <c r="C16" s="4"/>
      <c r="D16" s="41" t="s">
        <v>37</v>
      </c>
      <c r="E16" s="8"/>
      <c r="F16" s="9"/>
      <c r="G16" s="8"/>
      <c r="H16" s="9"/>
      <c r="I16" s="8"/>
      <c r="J16" s="9"/>
      <c r="K16" s="8"/>
      <c r="L16" s="9"/>
      <c r="M16" s="8"/>
      <c r="N16" s="9"/>
      <c r="O16" s="8"/>
      <c r="P16" s="9"/>
      <c r="Q16" s="8"/>
      <c r="R16" s="9"/>
      <c r="S16" s="8"/>
      <c r="T16" s="9"/>
      <c r="U16" s="8"/>
      <c r="V16" s="9"/>
      <c r="W16" s="8"/>
      <c r="X16" s="9"/>
      <c r="Y16" s="8"/>
      <c r="Z16" s="9"/>
      <c r="AA16" s="8"/>
      <c r="AB16" s="9"/>
      <c r="AC16" s="8"/>
      <c r="AD16" s="9"/>
      <c r="AE16" s="8"/>
      <c r="AF16" s="9"/>
      <c r="AG16" s="8"/>
      <c r="AH16" s="9"/>
      <c r="AI16" s="8"/>
      <c r="AJ16" s="9"/>
      <c r="AK16" s="8"/>
      <c r="AL16" s="9"/>
      <c r="AM16" s="8"/>
      <c r="AN16" s="9"/>
      <c r="AO16" s="8"/>
      <c r="AP16" s="9"/>
      <c r="AQ16" s="8"/>
      <c r="AR16" s="9"/>
      <c r="AS16" s="8"/>
      <c r="AT16" s="9"/>
      <c r="AU16" s="8"/>
      <c r="AV16" s="9"/>
      <c r="AW16" s="8"/>
      <c r="AX16" s="9"/>
      <c r="AY16" s="8"/>
      <c r="AZ16" s="9"/>
      <c r="BA16" s="8"/>
      <c r="BB16" s="9"/>
      <c r="BC16" s="8"/>
      <c r="BD16" s="9"/>
      <c r="BE16" s="8"/>
      <c r="BF16" s="9"/>
      <c r="BG16" s="8"/>
      <c r="BH16" s="9"/>
      <c r="BI16" s="8"/>
      <c r="BJ16" s="9"/>
      <c r="BK16" s="8"/>
      <c r="BL16" s="9"/>
      <c r="BM16" s="8"/>
      <c r="BN16" s="9"/>
      <c r="BO16" s="4"/>
      <c r="BP16" s="4"/>
    </row>
    <row r="17" spans="1:68" x14ac:dyDescent="0.25">
      <c r="A17" s="1"/>
      <c r="B17" s="1"/>
      <c r="C17" s="4"/>
      <c r="D17" s="41" t="s">
        <v>38</v>
      </c>
      <c r="E17" s="8"/>
      <c r="F17" s="9"/>
      <c r="G17" s="8"/>
      <c r="H17" s="9"/>
      <c r="I17" s="8"/>
      <c r="J17" s="9"/>
      <c r="K17" s="8"/>
      <c r="L17" s="9"/>
      <c r="M17" s="8"/>
      <c r="N17" s="9"/>
      <c r="O17" s="8"/>
      <c r="P17" s="9"/>
      <c r="Q17" s="8"/>
      <c r="R17" s="9"/>
      <c r="S17" s="8"/>
      <c r="T17" s="9"/>
      <c r="U17" s="8"/>
      <c r="V17" s="9"/>
      <c r="W17" s="8"/>
      <c r="X17" s="9"/>
      <c r="Y17" s="8"/>
      <c r="Z17" s="9"/>
      <c r="AA17" s="8"/>
      <c r="AB17" s="9"/>
      <c r="AC17" s="8"/>
      <c r="AD17" s="9"/>
      <c r="AE17" s="8"/>
      <c r="AF17" s="9"/>
      <c r="AG17" s="8"/>
      <c r="AH17" s="9"/>
      <c r="AI17" s="8"/>
      <c r="AJ17" s="9"/>
      <c r="AK17" s="8"/>
      <c r="AL17" s="9"/>
      <c r="AM17" s="8"/>
      <c r="AN17" s="9"/>
      <c r="AO17" s="8"/>
      <c r="AP17" s="9"/>
      <c r="AQ17" s="8"/>
      <c r="AR17" s="9"/>
      <c r="AS17" s="8"/>
      <c r="AT17" s="9"/>
      <c r="AU17" s="8"/>
      <c r="AV17" s="9"/>
      <c r="AW17" s="8"/>
      <c r="AX17" s="9"/>
      <c r="AY17" s="8"/>
      <c r="AZ17" s="9"/>
      <c r="BA17" s="8"/>
      <c r="BB17" s="9"/>
      <c r="BC17" s="8"/>
      <c r="BD17" s="9"/>
      <c r="BE17" s="8"/>
      <c r="BF17" s="9"/>
      <c r="BG17" s="8"/>
      <c r="BH17" s="9"/>
      <c r="BI17" s="8"/>
      <c r="BJ17" s="9"/>
      <c r="BK17" s="8"/>
      <c r="BL17" s="9"/>
      <c r="BM17" s="8"/>
      <c r="BN17" s="9"/>
      <c r="BO17" s="4"/>
      <c r="BP17" s="4"/>
    </row>
    <row r="18" spans="1:68" x14ac:dyDescent="0.25">
      <c r="A18" s="46" t="s">
        <v>105</v>
      </c>
      <c r="B18" s="47">
        <f>BI2-AX2</f>
        <v>8</v>
      </c>
      <c r="C18" s="4"/>
      <c r="D18" s="41" t="s">
        <v>39</v>
      </c>
      <c r="E18" s="8"/>
      <c r="F18" s="9"/>
      <c r="G18" s="8"/>
      <c r="H18" s="9"/>
      <c r="I18" s="8"/>
      <c r="J18" s="9"/>
      <c r="K18" s="8"/>
      <c r="L18" s="9"/>
      <c r="M18" s="8"/>
      <c r="N18" s="9"/>
      <c r="O18" s="8"/>
      <c r="P18" s="9"/>
      <c r="Q18" s="8"/>
      <c r="R18" s="9"/>
      <c r="S18" s="8"/>
      <c r="T18" s="9"/>
      <c r="U18" s="8"/>
      <c r="V18" s="9"/>
      <c r="W18" s="8"/>
      <c r="X18" s="9"/>
      <c r="Y18" s="8"/>
      <c r="Z18" s="9"/>
      <c r="AA18" s="8"/>
      <c r="AB18" s="9"/>
      <c r="AC18" s="8"/>
      <c r="AD18" s="9"/>
      <c r="AE18" s="8"/>
      <c r="AF18" s="9"/>
      <c r="AG18" s="8"/>
      <c r="AH18" s="9"/>
      <c r="AI18" s="8"/>
      <c r="AJ18" s="9"/>
      <c r="AK18" s="8"/>
      <c r="AL18" s="9"/>
      <c r="AM18" s="8"/>
      <c r="AN18" s="9"/>
      <c r="AO18" s="8"/>
      <c r="AP18" s="9"/>
      <c r="AQ18" s="8"/>
      <c r="AR18" s="9"/>
      <c r="AS18" s="8"/>
      <c r="AT18" s="9"/>
      <c r="AU18" s="8"/>
      <c r="AV18" s="9"/>
      <c r="AW18" s="8"/>
      <c r="AX18" s="9"/>
      <c r="AY18" s="8"/>
      <c r="AZ18" s="9"/>
      <c r="BA18" s="8"/>
      <c r="BB18" s="9"/>
      <c r="BC18" s="8"/>
      <c r="BD18" s="9"/>
      <c r="BE18" s="8"/>
      <c r="BF18" s="9"/>
      <c r="BG18" s="8"/>
      <c r="BH18" s="9"/>
      <c r="BI18" s="8"/>
      <c r="BJ18" s="9"/>
      <c r="BK18" s="8"/>
      <c r="BL18" s="9"/>
      <c r="BM18" s="8"/>
      <c r="BN18" s="9"/>
      <c r="BO18" s="4"/>
      <c r="BP18" s="4"/>
    </row>
    <row r="19" spans="1:68" x14ac:dyDescent="0.25">
      <c r="A19" s="46" t="s">
        <v>106</v>
      </c>
      <c r="B19" s="47">
        <f>MATCH(REPT("z",255),D:D)</f>
        <v>28</v>
      </c>
      <c r="C19" s="4"/>
      <c r="D19" s="41" t="s">
        <v>40</v>
      </c>
      <c r="E19" s="8"/>
      <c r="F19" s="9"/>
      <c r="G19" s="8"/>
      <c r="H19" s="9"/>
      <c r="I19" s="8"/>
      <c r="J19" s="9"/>
      <c r="K19" s="8"/>
      <c r="L19" s="9"/>
      <c r="M19" s="8"/>
      <c r="N19" s="9"/>
      <c r="O19" s="8"/>
      <c r="P19" s="9"/>
      <c r="Q19" s="8"/>
      <c r="R19" s="9"/>
      <c r="S19" s="8"/>
      <c r="T19" s="9"/>
      <c r="U19" s="8"/>
      <c r="V19" s="9"/>
      <c r="W19" s="8"/>
      <c r="X19" s="9"/>
      <c r="Y19" s="8"/>
      <c r="Z19" s="9"/>
      <c r="AA19" s="8"/>
      <c r="AB19" s="9"/>
      <c r="AC19" s="8"/>
      <c r="AD19" s="9"/>
      <c r="AE19" s="8"/>
      <c r="AF19" s="9"/>
      <c r="AG19" s="8"/>
      <c r="AH19" s="9"/>
      <c r="AI19" s="8"/>
      <c r="AJ19" s="9"/>
      <c r="AK19" s="8"/>
      <c r="AL19" s="9"/>
      <c r="AM19" s="8"/>
      <c r="AN19" s="9"/>
      <c r="AO19" s="8"/>
      <c r="AP19" s="9"/>
      <c r="AQ19" s="8"/>
      <c r="AR19" s="9"/>
      <c r="AS19" s="8"/>
      <c r="AT19" s="9"/>
      <c r="AU19" s="8"/>
      <c r="AV19" s="9"/>
      <c r="AW19" s="8"/>
      <c r="AX19" s="9"/>
      <c r="AY19" s="8"/>
      <c r="AZ19" s="9"/>
      <c r="BA19" s="8"/>
      <c r="BB19" s="9"/>
      <c r="BC19" s="8"/>
      <c r="BD19" s="9"/>
      <c r="BE19" s="8"/>
      <c r="BF19" s="9"/>
      <c r="BG19" s="8"/>
      <c r="BH19" s="9"/>
      <c r="BI19" s="8"/>
      <c r="BJ19" s="9"/>
      <c r="BK19" s="8"/>
      <c r="BL19" s="9"/>
      <c r="BM19" s="8"/>
      <c r="BN19" s="9"/>
      <c r="BO19" s="4"/>
      <c r="BP19" s="4"/>
    </row>
    <row r="20" spans="1:68" x14ac:dyDescent="0.25">
      <c r="A20" s="1"/>
      <c r="B20" s="1"/>
      <c r="C20" s="4"/>
      <c r="D20" s="41" t="s">
        <v>41</v>
      </c>
      <c r="E20" s="8"/>
      <c r="F20" s="9"/>
      <c r="G20" s="8"/>
      <c r="H20" s="9"/>
      <c r="I20" s="8"/>
      <c r="J20" s="9"/>
      <c r="K20" s="8"/>
      <c r="L20" s="9"/>
      <c r="M20" s="8"/>
      <c r="N20" s="9"/>
      <c r="O20" s="8"/>
      <c r="P20" s="9"/>
      <c r="Q20" s="8"/>
      <c r="R20" s="9"/>
      <c r="S20" s="8"/>
      <c r="T20" s="9"/>
      <c r="U20" s="8"/>
      <c r="V20" s="9"/>
      <c r="W20" s="8"/>
      <c r="X20" s="9"/>
      <c r="Y20" s="8"/>
      <c r="Z20" s="9"/>
      <c r="AA20" s="8"/>
      <c r="AB20" s="9"/>
      <c r="AC20" s="8"/>
      <c r="AD20" s="9"/>
      <c r="AE20" s="8"/>
      <c r="AF20" s="9"/>
      <c r="AG20" s="8"/>
      <c r="AH20" s="9"/>
      <c r="AI20" s="8"/>
      <c r="AJ20" s="9"/>
      <c r="AK20" s="8"/>
      <c r="AL20" s="9"/>
      <c r="AM20" s="8"/>
      <c r="AN20" s="9"/>
      <c r="AO20" s="8"/>
      <c r="AP20" s="9"/>
      <c r="AQ20" s="8"/>
      <c r="AR20" s="9"/>
      <c r="AS20" s="8"/>
      <c r="AT20" s="9"/>
      <c r="AU20" s="8"/>
      <c r="AV20" s="9"/>
      <c r="AW20" s="8"/>
      <c r="AX20" s="9"/>
      <c r="AY20" s="8"/>
      <c r="AZ20" s="9"/>
      <c r="BA20" s="8"/>
      <c r="BB20" s="9"/>
      <c r="BC20" s="8"/>
      <c r="BD20" s="9"/>
      <c r="BE20" s="8"/>
      <c r="BF20" s="9"/>
      <c r="BG20" s="8"/>
      <c r="BH20" s="9"/>
      <c r="BI20" s="8"/>
      <c r="BJ20" s="9"/>
      <c r="BK20" s="8"/>
      <c r="BL20" s="9"/>
      <c r="BM20" s="8"/>
      <c r="BN20" s="9"/>
      <c r="BO20" s="4"/>
      <c r="BP20" s="4"/>
    </row>
    <row r="21" spans="1:68" x14ac:dyDescent="0.25">
      <c r="A21" s="1"/>
      <c r="B21" s="1"/>
      <c r="C21" s="4"/>
      <c r="D21" s="41" t="s">
        <v>42</v>
      </c>
      <c r="E21" s="8"/>
      <c r="F21" s="9"/>
      <c r="G21" s="8"/>
      <c r="H21" s="9"/>
      <c r="I21" s="8"/>
      <c r="J21" s="9"/>
      <c r="K21" s="8"/>
      <c r="L21" s="9"/>
      <c r="M21" s="8"/>
      <c r="N21" s="9"/>
      <c r="O21" s="8"/>
      <c r="P21" s="9"/>
      <c r="Q21" s="8"/>
      <c r="R21" s="9"/>
      <c r="S21" s="8"/>
      <c r="T21" s="9"/>
      <c r="U21" s="8"/>
      <c r="V21" s="9"/>
      <c r="W21" s="8"/>
      <c r="X21" s="9"/>
      <c r="Y21" s="8"/>
      <c r="Z21" s="9"/>
      <c r="AA21" s="8"/>
      <c r="AB21" s="9"/>
      <c r="AC21" s="8"/>
      <c r="AD21" s="9"/>
      <c r="AE21" s="8"/>
      <c r="AF21" s="9"/>
      <c r="AG21" s="8"/>
      <c r="AH21" s="9"/>
      <c r="AI21" s="8"/>
      <c r="AJ21" s="9"/>
      <c r="AK21" s="8"/>
      <c r="AL21" s="9"/>
      <c r="AM21" s="8"/>
      <c r="AN21" s="9"/>
      <c r="AO21" s="8"/>
      <c r="AP21" s="9"/>
      <c r="AQ21" s="8"/>
      <c r="AR21" s="9"/>
      <c r="AS21" s="8"/>
      <c r="AT21" s="9"/>
      <c r="AU21" s="8"/>
      <c r="AV21" s="9"/>
      <c r="AW21" s="8"/>
      <c r="AX21" s="9"/>
      <c r="AY21" s="8"/>
      <c r="AZ21" s="9"/>
      <c r="BA21" s="8"/>
      <c r="BB21" s="9"/>
      <c r="BC21" s="8"/>
      <c r="BD21" s="9"/>
      <c r="BE21" s="8"/>
      <c r="BF21" s="9"/>
      <c r="BG21" s="8"/>
      <c r="BH21" s="9"/>
      <c r="BI21" s="8"/>
      <c r="BJ21" s="9"/>
      <c r="BK21" s="8"/>
      <c r="BL21" s="9"/>
      <c r="BM21" s="8"/>
      <c r="BN21" s="9"/>
      <c r="BO21" s="4"/>
      <c r="BP21" s="4"/>
    </row>
    <row r="22" spans="1:68" x14ac:dyDescent="0.25">
      <c r="A22" s="1"/>
      <c r="B22" s="1"/>
      <c r="C22" s="4"/>
      <c r="D22" s="41" t="s">
        <v>43</v>
      </c>
      <c r="E22" s="8"/>
      <c r="F22" s="9"/>
      <c r="G22" s="8"/>
      <c r="H22" s="9"/>
      <c r="I22" s="8"/>
      <c r="J22" s="9"/>
      <c r="K22" s="8"/>
      <c r="L22" s="9"/>
      <c r="M22" s="8"/>
      <c r="N22" s="9"/>
      <c r="O22" s="8"/>
      <c r="P22" s="9"/>
      <c r="Q22" s="8"/>
      <c r="R22" s="9"/>
      <c r="S22" s="8"/>
      <c r="T22" s="9"/>
      <c r="U22" s="8"/>
      <c r="V22" s="9"/>
      <c r="W22" s="8"/>
      <c r="X22" s="9"/>
      <c r="Y22" s="8"/>
      <c r="Z22" s="9"/>
      <c r="AA22" s="8"/>
      <c r="AB22" s="9"/>
      <c r="AC22" s="8"/>
      <c r="AD22" s="9"/>
      <c r="AE22" s="8"/>
      <c r="AF22" s="9"/>
      <c r="AG22" s="8"/>
      <c r="AH22" s="9"/>
      <c r="AI22" s="8"/>
      <c r="AJ22" s="9"/>
      <c r="AK22" s="8"/>
      <c r="AL22" s="9"/>
      <c r="AM22" s="8"/>
      <c r="AN22" s="9"/>
      <c r="AO22" s="8"/>
      <c r="AP22" s="9"/>
      <c r="AQ22" s="8"/>
      <c r="AR22" s="9"/>
      <c r="AS22" s="8"/>
      <c r="AT22" s="9"/>
      <c r="AU22" s="8"/>
      <c r="AV22" s="9"/>
      <c r="AW22" s="8"/>
      <c r="AX22" s="9"/>
      <c r="AY22" s="8"/>
      <c r="AZ22" s="9"/>
      <c r="BA22" s="8"/>
      <c r="BB22" s="9"/>
      <c r="BC22" s="8"/>
      <c r="BD22" s="9"/>
      <c r="BE22" s="8"/>
      <c r="BF22" s="9"/>
      <c r="BG22" s="8"/>
      <c r="BH22" s="9"/>
      <c r="BI22" s="8"/>
      <c r="BJ22" s="9"/>
      <c r="BK22" s="8"/>
      <c r="BL22" s="9"/>
      <c r="BM22" s="8"/>
      <c r="BN22" s="9"/>
      <c r="BO22" s="4"/>
      <c r="BP22" s="4"/>
    </row>
    <row r="23" spans="1:68" x14ac:dyDescent="0.25">
      <c r="A23" s="1"/>
      <c r="B23" s="1"/>
      <c r="C23" s="4"/>
      <c r="D23" s="41" t="s">
        <v>44</v>
      </c>
      <c r="E23" s="8"/>
      <c r="F23" s="9"/>
      <c r="G23" s="8"/>
      <c r="H23" s="9"/>
      <c r="I23" s="8"/>
      <c r="J23" s="9"/>
      <c r="K23" s="8"/>
      <c r="L23" s="9"/>
      <c r="M23" s="8"/>
      <c r="N23" s="9"/>
      <c r="O23" s="8"/>
      <c r="P23" s="9"/>
      <c r="Q23" s="8"/>
      <c r="R23" s="9"/>
      <c r="S23" s="8"/>
      <c r="T23" s="9"/>
      <c r="U23" s="8"/>
      <c r="V23" s="9"/>
      <c r="W23" s="8"/>
      <c r="X23" s="9"/>
      <c r="Y23" s="8"/>
      <c r="Z23" s="9"/>
      <c r="AA23" s="8"/>
      <c r="AB23" s="9"/>
      <c r="AC23" s="8"/>
      <c r="AD23" s="9"/>
      <c r="AE23" s="8"/>
      <c r="AF23" s="9"/>
      <c r="AG23" s="8"/>
      <c r="AH23" s="9"/>
      <c r="AI23" s="8"/>
      <c r="AJ23" s="9"/>
      <c r="AK23" s="8"/>
      <c r="AL23" s="9"/>
      <c r="AM23" s="8"/>
      <c r="AN23" s="9"/>
      <c r="AO23" s="8"/>
      <c r="AP23" s="9"/>
      <c r="AQ23" s="8"/>
      <c r="AR23" s="9"/>
      <c r="AS23" s="8"/>
      <c r="AT23" s="9"/>
      <c r="AU23" s="8"/>
      <c r="AV23" s="9"/>
      <c r="AW23" s="8"/>
      <c r="AX23" s="9"/>
      <c r="AY23" s="8"/>
      <c r="AZ23" s="9"/>
      <c r="BA23" s="8"/>
      <c r="BB23" s="9"/>
      <c r="BC23" s="8"/>
      <c r="BD23" s="9"/>
      <c r="BE23" s="8"/>
      <c r="BF23" s="9"/>
      <c r="BG23" s="8"/>
      <c r="BH23" s="9"/>
      <c r="BI23" s="8"/>
      <c r="BJ23" s="9"/>
      <c r="BK23" s="8"/>
      <c r="BL23" s="9"/>
      <c r="BM23" s="8"/>
      <c r="BN23" s="9"/>
      <c r="BO23" s="4"/>
      <c r="BP23" s="4"/>
    </row>
    <row r="24" spans="1:68" x14ac:dyDescent="0.25">
      <c r="A24" s="1"/>
      <c r="B24" s="1"/>
      <c r="C24" s="4"/>
      <c r="D24" s="41" t="s">
        <v>45</v>
      </c>
      <c r="E24" s="8"/>
      <c r="F24" s="9"/>
      <c r="G24" s="8"/>
      <c r="H24" s="9"/>
      <c r="I24" s="8"/>
      <c r="J24" s="9"/>
      <c r="K24" s="8"/>
      <c r="L24" s="9"/>
      <c r="M24" s="8"/>
      <c r="N24" s="9"/>
      <c r="O24" s="8"/>
      <c r="P24" s="9"/>
      <c r="Q24" s="8"/>
      <c r="R24" s="9"/>
      <c r="S24" s="8"/>
      <c r="T24" s="9"/>
      <c r="U24" s="8"/>
      <c r="V24" s="9"/>
      <c r="W24" s="8"/>
      <c r="X24" s="9"/>
      <c r="Y24" s="8"/>
      <c r="Z24" s="9"/>
      <c r="AA24" s="8"/>
      <c r="AB24" s="9"/>
      <c r="AC24" s="8"/>
      <c r="AD24" s="9"/>
      <c r="AE24" s="8"/>
      <c r="AF24" s="9"/>
      <c r="AG24" s="8"/>
      <c r="AH24" s="9"/>
      <c r="AI24" s="8"/>
      <c r="AJ24" s="9"/>
      <c r="AK24" s="8"/>
      <c r="AL24" s="9"/>
      <c r="AM24" s="8"/>
      <c r="AN24" s="9"/>
      <c r="AO24" s="8"/>
      <c r="AP24" s="9"/>
      <c r="AQ24" s="8"/>
      <c r="AR24" s="9"/>
      <c r="AS24" s="8"/>
      <c r="AT24" s="9"/>
      <c r="AU24" s="8"/>
      <c r="AV24" s="9"/>
      <c r="AW24" s="8"/>
      <c r="AX24" s="9"/>
      <c r="AY24" s="8"/>
      <c r="AZ24" s="9"/>
      <c r="BA24" s="8"/>
      <c r="BB24" s="9"/>
      <c r="BC24" s="8"/>
      <c r="BD24" s="9"/>
      <c r="BE24" s="8"/>
      <c r="BF24" s="9"/>
      <c r="BG24" s="8"/>
      <c r="BH24" s="9"/>
      <c r="BI24" s="8"/>
      <c r="BJ24" s="9"/>
      <c r="BK24" s="8"/>
      <c r="BL24" s="9"/>
      <c r="BM24" s="8"/>
      <c r="BN24" s="9"/>
      <c r="BO24" s="4"/>
      <c r="BP24" s="4"/>
    </row>
    <row r="25" spans="1:68" x14ac:dyDescent="0.25">
      <c r="A25" s="1"/>
      <c r="B25" s="1"/>
      <c r="C25" s="4"/>
      <c r="D25" s="41" t="s">
        <v>46</v>
      </c>
      <c r="E25" s="8"/>
      <c r="F25" s="9"/>
      <c r="G25" s="8"/>
      <c r="H25" s="9"/>
      <c r="I25" s="8"/>
      <c r="J25" s="9"/>
      <c r="K25" s="8"/>
      <c r="L25" s="9"/>
      <c r="M25" s="8"/>
      <c r="N25" s="9"/>
      <c r="O25" s="8"/>
      <c r="P25" s="9"/>
      <c r="Q25" s="8"/>
      <c r="R25" s="9"/>
      <c r="S25" s="8"/>
      <c r="T25" s="9"/>
      <c r="U25" s="8"/>
      <c r="V25" s="9"/>
      <c r="W25" s="8"/>
      <c r="X25" s="9"/>
      <c r="Y25" s="8"/>
      <c r="Z25" s="9"/>
      <c r="AA25" s="8"/>
      <c r="AB25" s="9"/>
      <c r="AC25" s="8"/>
      <c r="AD25" s="9"/>
      <c r="AE25" s="8"/>
      <c r="AF25" s="9"/>
      <c r="AG25" s="8"/>
      <c r="AH25" s="9"/>
      <c r="AI25" s="8"/>
      <c r="AJ25" s="9"/>
      <c r="AK25" s="8"/>
      <c r="AL25" s="9"/>
      <c r="AM25" s="8"/>
      <c r="AN25" s="9"/>
      <c r="AO25" s="8"/>
      <c r="AP25" s="9"/>
      <c r="AQ25" s="8"/>
      <c r="AR25" s="9"/>
      <c r="AS25" s="8"/>
      <c r="AT25" s="9"/>
      <c r="AU25" s="8"/>
      <c r="AV25" s="9"/>
      <c r="AW25" s="8"/>
      <c r="AX25" s="9"/>
      <c r="AY25" s="8"/>
      <c r="AZ25" s="9"/>
      <c r="BA25" s="8"/>
      <c r="BB25" s="9"/>
      <c r="BC25" s="8"/>
      <c r="BD25" s="9"/>
      <c r="BE25" s="8"/>
      <c r="BF25" s="9"/>
      <c r="BG25" s="8"/>
      <c r="BH25" s="9"/>
      <c r="BI25" s="8"/>
      <c r="BJ25" s="9"/>
      <c r="BK25" s="8"/>
      <c r="BL25" s="9"/>
      <c r="BM25" s="8"/>
      <c r="BN25" s="9"/>
      <c r="BO25" s="4"/>
      <c r="BP25" s="4"/>
    </row>
    <row r="26" spans="1:68" x14ac:dyDescent="0.25">
      <c r="A26" s="1"/>
      <c r="B26" s="1"/>
      <c r="C26" s="4"/>
      <c r="D26" s="41" t="s">
        <v>47</v>
      </c>
      <c r="E26" s="8"/>
      <c r="F26" s="9"/>
      <c r="G26" s="8"/>
      <c r="H26" s="9"/>
      <c r="I26" s="8"/>
      <c r="J26" s="9"/>
      <c r="K26" s="8"/>
      <c r="L26" s="9"/>
      <c r="M26" s="8"/>
      <c r="N26" s="9"/>
      <c r="O26" s="8"/>
      <c r="P26" s="9"/>
      <c r="Q26" s="8"/>
      <c r="R26" s="9"/>
      <c r="S26" s="8"/>
      <c r="T26" s="9"/>
      <c r="U26" s="8"/>
      <c r="V26" s="9"/>
      <c r="W26" s="8"/>
      <c r="X26" s="9"/>
      <c r="Y26" s="8"/>
      <c r="Z26" s="9"/>
      <c r="AA26" s="8"/>
      <c r="AB26" s="9"/>
      <c r="AC26" s="8"/>
      <c r="AD26" s="9"/>
      <c r="AE26" s="8"/>
      <c r="AF26" s="9"/>
      <c r="AG26" s="8"/>
      <c r="AH26" s="9"/>
      <c r="AI26" s="8"/>
      <c r="AJ26" s="9"/>
      <c r="AK26" s="8"/>
      <c r="AL26" s="9"/>
      <c r="AM26" s="8"/>
      <c r="AN26" s="9"/>
      <c r="AO26" s="8"/>
      <c r="AP26" s="9"/>
      <c r="AQ26" s="8"/>
      <c r="AR26" s="9"/>
      <c r="AS26" s="8"/>
      <c r="AT26" s="9"/>
      <c r="AU26" s="8"/>
      <c r="AV26" s="9"/>
      <c r="AW26" s="8"/>
      <c r="AX26" s="9"/>
      <c r="AY26" s="8"/>
      <c r="AZ26" s="9"/>
      <c r="BA26" s="8"/>
      <c r="BB26" s="9"/>
      <c r="BC26" s="8"/>
      <c r="BD26" s="9"/>
      <c r="BE26" s="8"/>
      <c r="BF26" s="9"/>
      <c r="BG26" s="8"/>
      <c r="BH26" s="9"/>
      <c r="BI26" s="8"/>
      <c r="BJ26" s="9"/>
      <c r="BK26" s="8"/>
      <c r="BL26" s="9"/>
      <c r="BM26" s="8"/>
      <c r="BN26" s="9"/>
      <c r="BO26" s="4"/>
      <c r="BP26" s="4"/>
    </row>
    <row r="27" spans="1:68" x14ac:dyDescent="0.25">
      <c r="A27" s="1"/>
      <c r="B27" s="1"/>
      <c r="C27" s="4"/>
      <c r="D27" s="41" t="s">
        <v>48</v>
      </c>
      <c r="E27" s="8"/>
      <c r="F27" s="9"/>
      <c r="G27" s="8"/>
      <c r="H27" s="9"/>
      <c r="I27" s="8"/>
      <c r="J27" s="9"/>
      <c r="K27" s="8"/>
      <c r="L27" s="9"/>
      <c r="M27" s="8"/>
      <c r="N27" s="9"/>
      <c r="O27" s="8"/>
      <c r="P27" s="9"/>
      <c r="Q27" s="8"/>
      <c r="R27" s="9"/>
      <c r="S27" s="8"/>
      <c r="T27" s="9"/>
      <c r="U27" s="8"/>
      <c r="V27" s="9"/>
      <c r="W27" s="8"/>
      <c r="X27" s="9"/>
      <c r="Y27" s="8"/>
      <c r="Z27" s="9"/>
      <c r="AA27" s="8"/>
      <c r="AB27" s="9"/>
      <c r="AC27" s="8"/>
      <c r="AD27" s="9"/>
      <c r="AE27" s="8"/>
      <c r="AF27" s="9"/>
      <c r="AG27" s="8"/>
      <c r="AH27" s="9"/>
      <c r="AI27" s="8"/>
      <c r="AJ27" s="9"/>
      <c r="AK27" s="8"/>
      <c r="AL27" s="9"/>
      <c r="AM27" s="8"/>
      <c r="AN27" s="9"/>
      <c r="AO27" s="8"/>
      <c r="AP27" s="9"/>
      <c r="AQ27" s="8"/>
      <c r="AR27" s="9"/>
      <c r="AS27" s="8"/>
      <c r="AT27" s="9"/>
      <c r="AU27" s="8"/>
      <c r="AV27" s="9"/>
      <c r="AW27" s="8"/>
      <c r="AX27" s="9"/>
      <c r="AY27" s="8"/>
      <c r="AZ27" s="9"/>
      <c r="BA27" s="8"/>
      <c r="BB27" s="9"/>
      <c r="BC27" s="8"/>
      <c r="BD27" s="9"/>
      <c r="BE27" s="8"/>
      <c r="BF27" s="9"/>
      <c r="BG27" s="8"/>
      <c r="BH27" s="9"/>
      <c r="BI27" s="8"/>
      <c r="BJ27" s="9"/>
      <c r="BK27" s="8"/>
      <c r="BL27" s="9"/>
      <c r="BM27" s="8"/>
      <c r="BN27" s="9"/>
      <c r="BO27" s="4"/>
      <c r="BP27" s="4"/>
    </row>
    <row r="28" spans="1:68" x14ac:dyDescent="0.25">
      <c r="A28" s="1"/>
      <c r="B28" s="1"/>
      <c r="C28" s="4"/>
      <c r="D28" s="41" t="s">
        <v>49</v>
      </c>
      <c r="E28" s="8"/>
      <c r="F28" s="9"/>
      <c r="G28" s="8"/>
      <c r="H28" s="9"/>
      <c r="I28" s="8"/>
      <c r="J28" s="9"/>
      <c r="K28" s="8"/>
      <c r="L28" s="9"/>
      <c r="M28" s="8"/>
      <c r="N28" s="9"/>
      <c r="O28" s="8"/>
      <c r="P28" s="9"/>
      <c r="Q28" s="8"/>
      <c r="R28" s="9"/>
      <c r="S28" s="8"/>
      <c r="T28" s="9"/>
      <c r="U28" s="8"/>
      <c r="V28" s="9"/>
      <c r="W28" s="8"/>
      <c r="X28" s="9"/>
      <c r="Y28" s="8"/>
      <c r="Z28" s="9"/>
      <c r="AA28" s="8"/>
      <c r="AB28" s="9"/>
      <c r="AC28" s="8"/>
      <c r="AD28" s="9"/>
      <c r="AE28" s="8"/>
      <c r="AF28" s="9"/>
      <c r="AG28" s="8"/>
      <c r="AH28" s="9"/>
      <c r="AI28" s="8"/>
      <c r="AJ28" s="9"/>
      <c r="AK28" s="8"/>
      <c r="AL28" s="9"/>
      <c r="AM28" s="8"/>
      <c r="AN28" s="9"/>
      <c r="AO28" s="8"/>
      <c r="AP28" s="9"/>
      <c r="AQ28" s="8"/>
      <c r="AR28" s="9"/>
      <c r="AS28" s="8"/>
      <c r="AT28" s="9"/>
      <c r="AU28" s="8"/>
      <c r="AV28" s="9"/>
      <c r="AW28" s="8"/>
      <c r="AX28" s="9"/>
      <c r="AY28" s="8"/>
      <c r="AZ28" s="9"/>
      <c r="BA28" s="8"/>
      <c r="BB28" s="9"/>
      <c r="BC28" s="8"/>
      <c r="BD28" s="9"/>
      <c r="BE28" s="8"/>
      <c r="BF28" s="9"/>
      <c r="BG28" s="8"/>
      <c r="BH28" s="9"/>
      <c r="BI28" s="8"/>
      <c r="BJ28" s="9"/>
      <c r="BK28" s="8"/>
      <c r="BL28" s="9"/>
      <c r="BM28" s="8"/>
      <c r="BN28" s="9"/>
      <c r="BO28" s="4"/>
      <c r="BP28" s="4"/>
    </row>
    <row r="29" spans="1:68" x14ac:dyDescent="0.25">
      <c r="A29" s="1"/>
      <c r="B29" s="1"/>
      <c r="C29" s="4"/>
      <c r="D29" s="41"/>
      <c r="E29" s="8"/>
      <c r="F29" s="9"/>
      <c r="G29" s="8"/>
      <c r="H29" s="9"/>
      <c r="I29" s="8"/>
      <c r="J29" s="9"/>
      <c r="K29" s="8"/>
      <c r="L29" s="9"/>
      <c r="M29" s="8"/>
      <c r="N29" s="9"/>
      <c r="O29" s="8"/>
      <c r="P29" s="9"/>
      <c r="Q29" s="8"/>
      <c r="R29" s="9"/>
      <c r="S29" s="8"/>
      <c r="T29" s="9"/>
      <c r="U29" s="8"/>
      <c r="V29" s="9"/>
      <c r="W29" s="8"/>
      <c r="X29" s="9"/>
      <c r="Y29" s="8"/>
      <c r="Z29" s="9"/>
      <c r="AA29" s="8"/>
      <c r="AB29" s="9"/>
      <c r="AC29" s="8"/>
      <c r="AD29" s="9"/>
      <c r="AE29" s="8"/>
      <c r="AF29" s="9"/>
      <c r="AG29" s="8"/>
      <c r="AH29" s="9"/>
      <c r="AI29" s="8"/>
      <c r="AJ29" s="9"/>
      <c r="AK29" s="8"/>
      <c r="AL29" s="9"/>
      <c r="AM29" s="8"/>
      <c r="AN29" s="9"/>
      <c r="AO29" s="8"/>
      <c r="AP29" s="9"/>
      <c r="AQ29" s="8"/>
      <c r="AR29" s="9"/>
      <c r="AS29" s="8"/>
      <c r="AT29" s="9"/>
      <c r="AU29" s="8"/>
      <c r="AV29" s="9"/>
      <c r="AW29" s="8"/>
      <c r="AX29" s="9"/>
      <c r="AY29" s="8"/>
      <c r="AZ29" s="9"/>
      <c r="BA29" s="8"/>
      <c r="BB29" s="9"/>
      <c r="BC29" s="8"/>
      <c r="BD29" s="9"/>
      <c r="BE29" s="8"/>
      <c r="BF29" s="9"/>
      <c r="BG29" s="8"/>
      <c r="BH29" s="9"/>
      <c r="BI29" s="8"/>
      <c r="BJ29" s="9"/>
      <c r="BK29" s="8"/>
      <c r="BL29" s="9"/>
      <c r="BM29" s="8"/>
      <c r="BN29" s="9"/>
      <c r="BO29" s="4"/>
      <c r="BP29" s="4"/>
    </row>
    <row r="30" spans="1:68" x14ac:dyDescent="0.25">
      <c r="A30" s="1"/>
      <c r="B30" s="1"/>
      <c r="C30" s="4"/>
      <c r="D30" s="41"/>
      <c r="E30" s="8"/>
      <c r="F30" s="9"/>
      <c r="G30" s="8"/>
      <c r="H30" s="9"/>
      <c r="I30" s="8"/>
      <c r="J30" s="9"/>
      <c r="K30" s="8"/>
      <c r="L30" s="9"/>
      <c r="M30" s="8"/>
      <c r="N30" s="9"/>
      <c r="O30" s="8"/>
      <c r="P30" s="9"/>
      <c r="Q30" s="8"/>
      <c r="R30" s="9"/>
      <c r="S30" s="8"/>
      <c r="T30" s="9"/>
      <c r="U30" s="8"/>
      <c r="V30" s="9"/>
      <c r="W30" s="8"/>
      <c r="X30" s="9"/>
      <c r="Y30" s="8"/>
      <c r="Z30" s="9"/>
      <c r="AA30" s="8"/>
      <c r="AB30" s="9"/>
      <c r="AC30" s="8"/>
      <c r="AD30" s="9"/>
      <c r="AE30" s="8"/>
      <c r="AF30" s="9"/>
      <c r="AG30" s="8"/>
      <c r="AH30" s="9"/>
      <c r="AI30" s="8"/>
      <c r="AJ30" s="9"/>
      <c r="AK30" s="8"/>
      <c r="AL30" s="9"/>
      <c r="AM30" s="8"/>
      <c r="AN30" s="9"/>
      <c r="AO30" s="8"/>
      <c r="AP30" s="9"/>
      <c r="AQ30" s="8"/>
      <c r="AR30" s="9"/>
      <c r="AS30" s="8"/>
      <c r="AT30" s="9"/>
      <c r="AU30" s="8"/>
      <c r="AV30" s="9"/>
      <c r="AW30" s="8"/>
      <c r="AX30" s="9"/>
      <c r="AY30" s="8"/>
      <c r="AZ30" s="9"/>
      <c r="BA30" s="8"/>
      <c r="BB30" s="9"/>
      <c r="BC30" s="8"/>
      <c r="BD30" s="9"/>
      <c r="BE30" s="8"/>
      <c r="BF30" s="9"/>
      <c r="BG30" s="8"/>
      <c r="BH30" s="9"/>
      <c r="BI30" s="8"/>
      <c r="BJ30" s="9"/>
      <c r="BK30" s="8"/>
      <c r="BL30" s="9"/>
      <c r="BM30" s="8"/>
      <c r="BN30" s="9"/>
      <c r="BO30" s="4"/>
      <c r="BP30" s="4"/>
    </row>
    <row r="31" spans="1:68" x14ac:dyDescent="0.25">
      <c r="A31" s="1"/>
      <c r="B31" s="1"/>
      <c r="C31" s="4"/>
      <c r="D31" s="41"/>
      <c r="E31" s="8"/>
      <c r="F31" s="9"/>
      <c r="G31" s="8"/>
      <c r="H31" s="9"/>
      <c r="I31" s="8"/>
      <c r="J31" s="9"/>
      <c r="K31" s="8"/>
      <c r="L31" s="9"/>
      <c r="M31" s="8"/>
      <c r="N31" s="9"/>
      <c r="O31" s="8"/>
      <c r="P31" s="9"/>
      <c r="Q31" s="8"/>
      <c r="R31" s="9"/>
      <c r="S31" s="8"/>
      <c r="T31" s="9"/>
      <c r="U31" s="8"/>
      <c r="V31" s="9"/>
      <c r="W31" s="8"/>
      <c r="X31" s="9"/>
      <c r="Y31" s="8"/>
      <c r="Z31" s="9"/>
      <c r="AA31" s="8"/>
      <c r="AB31" s="9"/>
      <c r="AC31" s="8"/>
      <c r="AD31" s="9"/>
      <c r="AE31" s="8"/>
      <c r="AF31" s="9"/>
      <c r="AG31" s="8"/>
      <c r="AH31" s="9"/>
      <c r="AI31" s="8"/>
      <c r="AJ31" s="9"/>
      <c r="AK31" s="8"/>
      <c r="AL31" s="9"/>
      <c r="AM31" s="8"/>
      <c r="AN31" s="9"/>
      <c r="AO31" s="8"/>
      <c r="AP31" s="9"/>
      <c r="AQ31" s="8"/>
      <c r="AR31" s="9"/>
      <c r="AS31" s="8"/>
      <c r="AT31" s="9"/>
      <c r="AU31" s="8"/>
      <c r="AV31" s="9"/>
      <c r="AW31" s="8"/>
      <c r="AX31" s="9"/>
      <c r="AY31" s="8"/>
      <c r="AZ31" s="9"/>
      <c r="BA31" s="8"/>
      <c r="BB31" s="9"/>
      <c r="BC31" s="8"/>
      <c r="BD31" s="9"/>
      <c r="BE31" s="8"/>
      <c r="BF31" s="9"/>
      <c r="BG31" s="8"/>
      <c r="BH31" s="9"/>
      <c r="BI31" s="8"/>
      <c r="BJ31" s="9"/>
      <c r="BK31" s="8"/>
      <c r="BL31" s="9"/>
      <c r="BM31" s="8"/>
      <c r="BN31" s="9"/>
      <c r="BO31" s="4"/>
      <c r="BP31" s="4"/>
    </row>
    <row r="32" spans="1:68" x14ac:dyDescent="0.25">
      <c r="A32" s="1"/>
      <c r="B32" s="1"/>
      <c r="C32" s="4"/>
      <c r="D32" s="41"/>
      <c r="E32" s="8"/>
      <c r="F32" s="9"/>
      <c r="G32" s="8"/>
      <c r="H32" s="9"/>
      <c r="I32" s="8"/>
      <c r="J32" s="9"/>
      <c r="K32" s="8"/>
      <c r="L32" s="9"/>
      <c r="M32" s="8"/>
      <c r="N32" s="9"/>
      <c r="O32" s="8"/>
      <c r="P32" s="9"/>
      <c r="Q32" s="8"/>
      <c r="R32" s="9"/>
      <c r="S32" s="8"/>
      <c r="T32" s="9"/>
      <c r="U32" s="8"/>
      <c r="V32" s="9"/>
      <c r="W32" s="8"/>
      <c r="X32" s="9"/>
      <c r="Y32" s="8"/>
      <c r="Z32" s="9"/>
      <c r="AA32" s="8"/>
      <c r="AB32" s="9"/>
      <c r="AC32" s="8"/>
      <c r="AD32" s="9"/>
      <c r="AE32" s="8"/>
      <c r="AF32" s="9"/>
      <c r="AG32" s="8"/>
      <c r="AH32" s="9"/>
      <c r="AI32" s="8"/>
      <c r="AJ32" s="9"/>
      <c r="AK32" s="8"/>
      <c r="AL32" s="9"/>
      <c r="AM32" s="8"/>
      <c r="AN32" s="9"/>
      <c r="AO32" s="8"/>
      <c r="AP32" s="9"/>
      <c r="AQ32" s="8"/>
      <c r="AR32" s="9"/>
      <c r="AS32" s="8"/>
      <c r="AT32" s="9"/>
      <c r="AU32" s="8"/>
      <c r="AV32" s="9"/>
      <c r="AW32" s="8"/>
      <c r="AX32" s="9"/>
      <c r="AY32" s="8"/>
      <c r="AZ32" s="9"/>
      <c r="BA32" s="8"/>
      <c r="BB32" s="9"/>
      <c r="BC32" s="8"/>
      <c r="BD32" s="9"/>
      <c r="BE32" s="8"/>
      <c r="BF32" s="9"/>
      <c r="BG32" s="8"/>
      <c r="BH32" s="9"/>
      <c r="BI32" s="8"/>
      <c r="BJ32" s="9"/>
      <c r="BK32" s="8"/>
      <c r="BL32" s="9"/>
      <c r="BM32" s="8"/>
      <c r="BN32" s="9"/>
      <c r="BO32" s="4"/>
      <c r="BP32" s="4"/>
    </row>
    <row r="33" spans="1:68" x14ac:dyDescent="0.25">
      <c r="A33" s="1"/>
      <c r="B33" s="1"/>
      <c r="C33" s="4"/>
      <c r="D33" s="41"/>
      <c r="E33" s="8"/>
      <c r="F33" s="9"/>
      <c r="G33" s="8"/>
      <c r="H33" s="9"/>
      <c r="I33" s="8"/>
      <c r="J33" s="9"/>
      <c r="K33" s="8"/>
      <c r="L33" s="9"/>
      <c r="M33" s="8"/>
      <c r="N33" s="9"/>
      <c r="O33" s="8"/>
      <c r="P33" s="9"/>
      <c r="Q33" s="8"/>
      <c r="R33" s="9"/>
      <c r="S33" s="8"/>
      <c r="T33" s="9"/>
      <c r="U33" s="8"/>
      <c r="V33" s="9"/>
      <c r="W33" s="8"/>
      <c r="X33" s="9"/>
      <c r="Y33" s="8"/>
      <c r="Z33" s="9"/>
      <c r="AA33" s="8"/>
      <c r="AB33" s="9"/>
      <c r="AC33" s="8"/>
      <c r="AD33" s="9"/>
      <c r="AE33" s="8"/>
      <c r="AF33" s="9"/>
      <c r="AG33" s="8"/>
      <c r="AH33" s="9"/>
      <c r="AI33" s="8"/>
      <c r="AJ33" s="9"/>
      <c r="AK33" s="8"/>
      <c r="AL33" s="9"/>
      <c r="AM33" s="8"/>
      <c r="AN33" s="9"/>
      <c r="AO33" s="8"/>
      <c r="AP33" s="9"/>
      <c r="AQ33" s="8"/>
      <c r="AR33" s="9"/>
      <c r="AS33" s="8"/>
      <c r="AT33" s="9"/>
      <c r="AU33" s="8"/>
      <c r="AV33" s="9"/>
      <c r="AW33" s="8"/>
      <c r="AX33" s="9"/>
      <c r="AY33" s="8"/>
      <c r="AZ33" s="9"/>
      <c r="BA33" s="8"/>
      <c r="BB33" s="9"/>
      <c r="BC33" s="8"/>
      <c r="BD33" s="9"/>
      <c r="BE33" s="8"/>
      <c r="BF33" s="9"/>
      <c r="BG33" s="8"/>
      <c r="BH33" s="9"/>
      <c r="BI33" s="8"/>
      <c r="BJ33" s="9"/>
      <c r="BK33" s="8"/>
      <c r="BL33" s="9"/>
      <c r="BM33" s="8"/>
      <c r="BN33" s="9"/>
      <c r="BO33" s="4"/>
      <c r="BP33" s="4"/>
    </row>
    <row r="34" spans="1:68" x14ac:dyDescent="0.25">
      <c r="A34" s="1"/>
      <c r="B34" s="1"/>
      <c r="C34" s="4"/>
      <c r="D34" s="41"/>
      <c r="E34" s="8"/>
      <c r="F34" s="9"/>
      <c r="G34" s="8"/>
      <c r="H34" s="9"/>
      <c r="I34" s="8"/>
      <c r="J34" s="9"/>
      <c r="K34" s="8"/>
      <c r="L34" s="9"/>
      <c r="M34" s="8"/>
      <c r="N34" s="9"/>
      <c r="O34" s="8"/>
      <c r="P34" s="9"/>
      <c r="Q34" s="8"/>
      <c r="R34" s="9"/>
      <c r="S34" s="8"/>
      <c r="T34" s="9"/>
      <c r="U34" s="8"/>
      <c r="V34" s="9"/>
      <c r="W34" s="8"/>
      <c r="X34" s="9"/>
      <c r="Y34" s="8"/>
      <c r="Z34" s="9"/>
      <c r="AA34" s="8"/>
      <c r="AB34" s="9"/>
      <c r="AC34" s="8"/>
      <c r="AD34" s="9"/>
      <c r="AE34" s="8"/>
      <c r="AF34" s="9"/>
      <c r="AG34" s="8"/>
      <c r="AH34" s="9"/>
      <c r="AI34" s="8"/>
      <c r="AJ34" s="9"/>
      <c r="AK34" s="8"/>
      <c r="AL34" s="9"/>
      <c r="AM34" s="8"/>
      <c r="AN34" s="9"/>
      <c r="AO34" s="8"/>
      <c r="AP34" s="9"/>
      <c r="AQ34" s="8"/>
      <c r="AR34" s="9"/>
      <c r="AS34" s="8"/>
      <c r="AT34" s="9"/>
      <c r="AU34" s="8"/>
      <c r="AV34" s="9"/>
      <c r="AW34" s="8"/>
      <c r="AX34" s="9"/>
      <c r="AY34" s="8"/>
      <c r="AZ34" s="9"/>
      <c r="BA34" s="8"/>
      <c r="BB34" s="9"/>
      <c r="BC34" s="8"/>
      <c r="BD34" s="9"/>
      <c r="BE34" s="8"/>
      <c r="BF34" s="9"/>
      <c r="BG34" s="8"/>
      <c r="BH34" s="9"/>
      <c r="BI34" s="8"/>
      <c r="BJ34" s="9"/>
      <c r="BK34" s="8"/>
      <c r="BL34" s="9"/>
      <c r="BM34" s="8"/>
      <c r="BN34" s="9"/>
      <c r="BO34" s="4"/>
      <c r="BP34" s="4"/>
    </row>
    <row r="35" spans="1:68" x14ac:dyDescent="0.25">
      <c r="A35" s="1"/>
      <c r="B35" s="1"/>
      <c r="C35" s="4"/>
      <c r="D35" s="41"/>
      <c r="E35" s="8"/>
      <c r="F35" s="9"/>
      <c r="G35" s="8"/>
      <c r="H35" s="9"/>
      <c r="I35" s="8"/>
      <c r="J35" s="9"/>
      <c r="K35" s="8"/>
      <c r="L35" s="9"/>
      <c r="M35" s="8"/>
      <c r="N35" s="9"/>
      <c r="O35" s="8"/>
      <c r="P35" s="9"/>
      <c r="Q35" s="8"/>
      <c r="R35" s="9"/>
      <c r="S35" s="8"/>
      <c r="T35" s="9"/>
      <c r="U35" s="8"/>
      <c r="V35" s="9"/>
      <c r="W35" s="8"/>
      <c r="X35" s="9"/>
      <c r="Y35" s="8"/>
      <c r="Z35" s="9"/>
      <c r="AA35" s="8"/>
      <c r="AB35" s="9"/>
      <c r="AC35" s="8"/>
      <c r="AD35" s="9"/>
      <c r="AE35" s="8"/>
      <c r="AF35" s="9"/>
      <c r="AG35" s="8"/>
      <c r="AH35" s="9"/>
      <c r="AI35" s="8"/>
      <c r="AJ35" s="9"/>
      <c r="AK35" s="8"/>
      <c r="AL35" s="9"/>
      <c r="AM35" s="8"/>
      <c r="AN35" s="9"/>
      <c r="AO35" s="8"/>
      <c r="AP35" s="9"/>
      <c r="AQ35" s="8"/>
      <c r="AR35" s="9"/>
      <c r="AS35" s="8"/>
      <c r="AT35" s="9"/>
      <c r="AU35" s="8"/>
      <c r="AV35" s="9"/>
      <c r="AW35" s="8"/>
      <c r="AX35" s="9"/>
      <c r="AY35" s="8"/>
      <c r="AZ35" s="9"/>
      <c r="BA35" s="8"/>
      <c r="BB35" s="9"/>
      <c r="BC35" s="8"/>
      <c r="BD35" s="9"/>
      <c r="BE35" s="8"/>
      <c r="BF35" s="9"/>
      <c r="BG35" s="8"/>
      <c r="BH35" s="9"/>
      <c r="BI35" s="8"/>
      <c r="BJ35" s="9"/>
      <c r="BK35" s="8"/>
      <c r="BL35" s="9"/>
      <c r="BM35" s="8"/>
      <c r="BN35" s="9"/>
      <c r="BO35" s="4"/>
      <c r="BP35" s="4"/>
    </row>
    <row r="36" spans="1:68" x14ac:dyDescent="0.25">
      <c r="A36" s="1"/>
      <c r="B36" s="1"/>
      <c r="C36" s="4"/>
      <c r="D36" s="41"/>
      <c r="E36" s="8"/>
      <c r="F36" s="9"/>
      <c r="G36" s="8"/>
      <c r="H36" s="9"/>
      <c r="I36" s="8"/>
      <c r="J36" s="9"/>
      <c r="K36" s="8"/>
      <c r="L36" s="9"/>
      <c r="M36" s="8"/>
      <c r="N36" s="9"/>
      <c r="O36" s="8"/>
      <c r="P36" s="9"/>
      <c r="Q36" s="8"/>
      <c r="R36" s="9"/>
      <c r="S36" s="8"/>
      <c r="T36" s="9"/>
      <c r="U36" s="8"/>
      <c r="V36" s="9"/>
      <c r="W36" s="8"/>
      <c r="X36" s="9"/>
      <c r="Y36" s="8"/>
      <c r="Z36" s="9"/>
      <c r="AA36" s="8"/>
      <c r="AB36" s="9"/>
      <c r="AC36" s="8"/>
      <c r="AD36" s="9"/>
      <c r="AE36" s="8"/>
      <c r="AF36" s="9"/>
      <c r="AG36" s="8"/>
      <c r="AH36" s="9"/>
      <c r="AI36" s="8"/>
      <c r="AJ36" s="9"/>
      <c r="AK36" s="8"/>
      <c r="AL36" s="9"/>
      <c r="AM36" s="8"/>
      <c r="AN36" s="9"/>
      <c r="AO36" s="8"/>
      <c r="AP36" s="9"/>
      <c r="AQ36" s="8"/>
      <c r="AR36" s="9"/>
      <c r="AS36" s="8"/>
      <c r="AT36" s="9"/>
      <c r="AU36" s="8"/>
      <c r="AV36" s="9"/>
      <c r="AW36" s="8"/>
      <c r="AX36" s="9"/>
      <c r="AY36" s="8"/>
      <c r="AZ36" s="9"/>
      <c r="BA36" s="8"/>
      <c r="BB36" s="9"/>
      <c r="BC36" s="8"/>
      <c r="BD36" s="9"/>
      <c r="BE36" s="8"/>
      <c r="BF36" s="9"/>
      <c r="BG36" s="8"/>
      <c r="BH36" s="9"/>
      <c r="BI36" s="8"/>
      <c r="BJ36" s="9"/>
      <c r="BK36" s="8"/>
      <c r="BL36" s="9"/>
      <c r="BM36" s="8"/>
      <c r="BN36" s="9"/>
      <c r="BO36" s="4"/>
      <c r="BP36" s="4"/>
    </row>
    <row r="37" spans="1:68" x14ac:dyDescent="0.25">
      <c r="C37" s="4"/>
      <c r="D37" s="41"/>
      <c r="E37" s="8"/>
      <c r="F37" s="9"/>
      <c r="G37" s="8"/>
      <c r="H37" s="9"/>
      <c r="I37" s="8"/>
      <c r="J37" s="9"/>
      <c r="K37" s="8"/>
      <c r="L37" s="9"/>
      <c r="M37" s="8"/>
      <c r="N37" s="9"/>
      <c r="O37" s="8"/>
      <c r="P37" s="9"/>
      <c r="Q37" s="8"/>
      <c r="R37" s="9"/>
      <c r="S37" s="8"/>
      <c r="T37" s="9"/>
      <c r="U37" s="8"/>
      <c r="V37" s="9"/>
      <c r="W37" s="8"/>
      <c r="X37" s="9"/>
      <c r="Y37" s="8"/>
      <c r="Z37" s="9"/>
      <c r="AA37" s="8"/>
      <c r="AB37" s="9"/>
      <c r="AC37" s="8"/>
      <c r="AD37" s="9"/>
      <c r="AE37" s="8"/>
      <c r="AF37" s="9"/>
      <c r="AG37" s="8"/>
      <c r="AH37" s="9"/>
      <c r="AI37" s="8"/>
      <c r="AJ37" s="9"/>
      <c r="AK37" s="8"/>
      <c r="AL37" s="9"/>
      <c r="AM37" s="8"/>
      <c r="AN37" s="9"/>
      <c r="AO37" s="8"/>
      <c r="AP37" s="9"/>
      <c r="AQ37" s="8"/>
      <c r="AR37" s="9"/>
      <c r="AS37" s="8"/>
      <c r="AT37" s="9"/>
      <c r="AU37" s="8"/>
      <c r="AV37" s="9"/>
      <c r="AW37" s="8"/>
      <c r="AX37" s="9"/>
      <c r="AY37" s="8"/>
      <c r="AZ37" s="9"/>
      <c r="BA37" s="8"/>
      <c r="BB37" s="9"/>
      <c r="BC37" s="8"/>
      <c r="BD37" s="9"/>
      <c r="BE37" s="8"/>
      <c r="BF37" s="9"/>
      <c r="BG37" s="8"/>
      <c r="BH37" s="9"/>
      <c r="BI37" s="8"/>
      <c r="BJ37" s="9"/>
      <c r="BK37" s="8"/>
      <c r="BL37" s="9"/>
      <c r="BM37" s="8"/>
      <c r="BN37" s="9"/>
      <c r="BO37" s="4"/>
      <c r="BP37" s="4"/>
    </row>
    <row r="38" spans="1:68" x14ac:dyDescent="0.25">
      <c r="C38" s="4"/>
      <c r="D38" s="41"/>
      <c r="E38" s="8"/>
      <c r="F38" s="9"/>
      <c r="G38" s="8"/>
      <c r="H38" s="9"/>
      <c r="I38" s="8"/>
      <c r="J38" s="9"/>
      <c r="K38" s="8"/>
      <c r="L38" s="9"/>
      <c r="M38" s="8"/>
      <c r="N38" s="9"/>
      <c r="O38" s="8"/>
      <c r="P38" s="9"/>
      <c r="Q38" s="8"/>
      <c r="R38" s="9"/>
      <c r="S38" s="8"/>
      <c r="T38" s="9"/>
      <c r="U38" s="8"/>
      <c r="V38" s="9"/>
      <c r="W38" s="8"/>
      <c r="X38" s="9"/>
      <c r="Y38" s="8"/>
      <c r="Z38" s="9"/>
      <c r="AA38" s="8"/>
      <c r="AB38" s="9"/>
      <c r="AC38" s="8"/>
      <c r="AD38" s="9"/>
      <c r="AE38" s="8"/>
      <c r="AF38" s="9"/>
      <c r="AG38" s="8"/>
      <c r="AH38" s="9"/>
      <c r="AI38" s="8"/>
      <c r="AJ38" s="9"/>
      <c r="AK38" s="8"/>
      <c r="AL38" s="9"/>
      <c r="AM38" s="8"/>
      <c r="AN38" s="9"/>
      <c r="AO38" s="8"/>
      <c r="AP38" s="9"/>
      <c r="AQ38" s="8"/>
      <c r="AR38" s="9"/>
      <c r="AS38" s="8"/>
      <c r="AT38" s="9"/>
      <c r="AU38" s="8"/>
      <c r="AV38" s="9"/>
      <c r="AW38" s="8"/>
      <c r="AX38" s="9"/>
      <c r="AY38" s="8"/>
      <c r="AZ38" s="9"/>
      <c r="BA38" s="8"/>
      <c r="BB38" s="9"/>
      <c r="BC38" s="8"/>
      <c r="BD38" s="9"/>
      <c r="BE38" s="8"/>
      <c r="BF38" s="9"/>
      <c r="BG38" s="8"/>
      <c r="BH38" s="9"/>
      <c r="BI38" s="8"/>
      <c r="BJ38" s="9"/>
      <c r="BK38" s="8"/>
      <c r="BL38" s="9"/>
      <c r="BM38" s="8"/>
      <c r="BN38" s="9"/>
      <c r="BO38" s="4"/>
      <c r="BP38" s="4"/>
    </row>
    <row r="39" spans="1:68" x14ac:dyDescent="0.25">
      <c r="C39" s="4"/>
      <c r="D39" s="41"/>
      <c r="E39" s="8"/>
      <c r="F39" s="9"/>
      <c r="G39" s="8"/>
      <c r="H39" s="9"/>
      <c r="I39" s="8"/>
      <c r="J39" s="9"/>
      <c r="K39" s="8"/>
      <c r="L39" s="9"/>
      <c r="M39" s="8"/>
      <c r="N39" s="9"/>
      <c r="O39" s="8"/>
      <c r="P39" s="9"/>
      <c r="Q39" s="8"/>
      <c r="R39" s="9"/>
      <c r="S39" s="8"/>
      <c r="T39" s="9"/>
      <c r="U39" s="8"/>
      <c r="V39" s="9"/>
      <c r="W39" s="8"/>
      <c r="X39" s="9"/>
      <c r="Y39" s="8"/>
      <c r="Z39" s="9"/>
      <c r="AA39" s="8"/>
      <c r="AB39" s="9"/>
      <c r="AC39" s="8"/>
      <c r="AD39" s="9"/>
      <c r="AE39" s="8"/>
      <c r="AF39" s="9"/>
      <c r="AG39" s="8"/>
      <c r="AH39" s="9"/>
      <c r="AI39" s="8"/>
      <c r="AJ39" s="9"/>
      <c r="AK39" s="8"/>
      <c r="AL39" s="9"/>
      <c r="AM39" s="8"/>
      <c r="AN39" s="9"/>
      <c r="AO39" s="8"/>
      <c r="AP39" s="9"/>
      <c r="AQ39" s="8"/>
      <c r="AR39" s="9"/>
      <c r="AS39" s="8"/>
      <c r="AT39" s="9"/>
      <c r="AU39" s="8"/>
      <c r="AV39" s="9"/>
      <c r="AW39" s="8"/>
      <c r="AX39" s="9"/>
      <c r="AY39" s="8"/>
      <c r="AZ39" s="9"/>
      <c r="BA39" s="8"/>
      <c r="BB39" s="9"/>
      <c r="BC39" s="8"/>
      <c r="BD39" s="9"/>
      <c r="BE39" s="8"/>
      <c r="BF39" s="9"/>
      <c r="BG39" s="8"/>
      <c r="BH39" s="9"/>
      <c r="BI39" s="8"/>
      <c r="BJ39" s="9"/>
      <c r="BK39" s="8"/>
      <c r="BL39" s="9"/>
      <c r="BM39" s="8"/>
      <c r="BN39" s="9"/>
      <c r="BO39" s="4"/>
      <c r="BP39" s="4"/>
    </row>
    <row r="40" spans="1:68" x14ac:dyDescent="0.25">
      <c r="C40" s="4"/>
      <c r="D40" s="41"/>
      <c r="E40" s="8"/>
      <c r="F40" s="9"/>
      <c r="G40" s="8"/>
      <c r="H40" s="9"/>
      <c r="I40" s="8"/>
      <c r="J40" s="9"/>
      <c r="K40" s="8"/>
      <c r="L40" s="9"/>
      <c r="M40" s="8"/>
      <c r="N40" s="9"/>
      <c r="O40" s="8"/>
      <c r="P40" s="9"/>
      <c r="Q40" s="8"/>
      <c r="R40" s="9"/>
      <c r="S40" s="8"/>
      <c r="T40" s="9"/>
      <c r="U40" s="8"/>
      <c r="V40" s="9"/>
      <c r="W40" s="8"/>
      <c r="X40" s="9"/>
      <c r="Y40" s="8"/>
      <c r="Z40" s="9"/>
      <c r="AA40" s="8"/>
      <c r="AB40" s="9"/>
      <c r="AC40" s="8"/>
      <c r="AD40" s="9"/>
      <c r="AE40" s="8"/>
      <c r="AF40" s="9"/>
      <c r="AG40" s="8"/>
      <c r="AH40" s="9"/>
      <c r="AI40" s="8"/>
      <c r="AJ40" s="9"/>
      <c r="AK40" s="8"/>
      <c r="AL40" s="9"/>
      <c r="AM40" s="8"/>
      <c r="AN40" s="9"/>
      <c r="AO40" s="8"/>
      <c r="AP40" s="9"/>
      <c r="AQ40" s="8"/>
      <c r="AR40" s="9"/>
      <c r="AS40" s="8"/>
      <c r="AT40" s="9"/>
      <c r="AU40" s="8"/>
      <c r="AV40" s="9"/>
      <c r="AW40" s="8"/>
      <c r="AX40" s="9"/>
      <c r="AY40" s="8"/>
      <c r="AZ40" s="9"/>
      <c r="BA40" s="8"/>
      <c r="BB40" s="9"/>
      <c r="BC40" s="8"/>
      <c r="BD40" s="9"/>
      <c r="BE40" s="8"/>
      <c r="BF40" s="9"/>
      <c r="BG40" s="8"/>
      <c r="BH40" s="9"/>
      <c r="BI40" s="8"/>
      <c r="BJ40" s="9"/>
      <c r="BK40" s="8"/>
      <c r="BL40" s="9"/>
      <c r="BM40" s="8"/>
      <c r="BN40" s="9"/>
      <c r="BO40" s="4"/>
      <c r="BP40" s="4"/>
    </row>
    <row r="41" spans="1:68" x14ac:dyDescent="0.25">
      <c r="C41" s="4"/>
      <c r="D41" s="41"/>
      <c r="E41" s="8"/>
      <c r="F41" s="9"/>
      <c r="G41" s="8"/>
      <c r="H41" s="9"/>
      <c r="I41" s="8"/>
      <c r="J41" s="9"/>
      <c r="K41" s="8"/>
      <c r="L41" s="9"/>
      <c r="M41" s="8"/>
      <c r="N41" s="9"/>
      <c r="O41" s="8"/>
      <c r="P41" s="9"/>
      <c r="Q41" s="8"/>
      <c r="R41" s="9"/>
      <c r="S41" s="8"/>
      <c r="T41" s="9"/>
      <c r="U41" s="8"/>
      <c r="V41" s="9"/>
      <c r="W41" s="8"/>
      <c r="X41" s="9"/>
      <c r="Y41" s="8"/>
      <c r="Z41" s="9"/>
      <c r="AA41" s="8"/>
      <c r="AB41" s="9"/>
      <c r="AC41" s="8"/>
      <c r="AD41" s="9"/>
      <c r="AE41" s="8"/>
      <c r="AF41" s="9"/>
      <c r="AG41" s="8"/>
      <c r="AH41" s="9"/>
      <c r="AI41" s="8"/>
      <c r="AJ41" s="9"/>
      <c r="AK41" s="8"/>
      <c r="AL41" s="9"/>
      <c r="AM41" s="8"/>
      <c r="AN41" s="9"/>
      <c r="AO41" s="8"/>
      <c r="AP41" s="9"/>
      <c r="AQ41" s="8"/>
      <c r="AR41" s="9"/>
      <c r="AS41" s="8"/>
      <c r="AT41" s="9"/>
      <c r="AU41" s="8"/>
      <c r="AV41" s="9"/>
      <c r="AW41" s="8"/>
      <c r="AX41" s="9"/>
      <c r="AY41" s="8"/>
      <c r="AZ41" s="9"/>
      <c r="BA41" s="8"/>
      <c r="BB41" s="9"/>
      <c r="BC41" s="8"/>
      <c r="BD41" s="9"/>
      <c r="BE41" s="8"/>
      <c r="BF41" s="9"/>
      <c r="BG41" s="8"/>
      <c r="BH41" s="9"/>
      <c r="BI41" s="8"/>
      <c r="BJ41" s="9"/>
      <c r="BK41" s="8"/>
      <c r="BL41" s="9"/>
      <c r="BM41" s="8"/>
      <c r="BN41" s="9"/>
      <c r="BO41" s="4"/>
      <c r="BP41" s="4"/>
    </row>
    <row r="42" spans="1:68" x14ac:dyDescent="0.25">
      <c r="C42" s="4"/>
      <c r="D42" s="41"/>
      <c r="E42" s="8"/>
      <c r="F42" s="9"/>
      <c r="G42" s="8"/>
      <c r="H42" s="9"/>
      <c r="I42" s="8"/>
      <c r="J42" s="9"/>
      <c r="K42" s="8"/>
      <c r="L42" s="9"/>
      <c r="M42" s="8"/>
      <c r="N42" s="9"/>
      <c r="O42" s="8"/>
      <c r="P42" s="9"/>
      <c r="Q42" s="8"/>
      <c r="R42" s="9"/>
      <c r="S42" s="8"/>
      <c r="T42" s="9"/>
      <c r="U42" s="8"/>
      <c r="V42" s="9"/>
      <c r="W42" s="8"/>
      <c r="X42" s="9"/>
      <c r="Y42" s="8"/>
      <c r="Z42" s="9"/>
      <c r="AA42" s="8"/>
      <c r="AB42" s="9"/>
      <c r="AC42" s="8"/>
      <c r="AD42" s="9"/>
      <c r="AE42" s="8"/>
      <c r="AF42" s="9"/>
      <c r="AG42" s="8"/>
      <c r="AH42" s="9"/>
      <c r="AI42" s="8"/>
      <c r="AJ42" s="9"/>
      <c r="AK42" s="8"/>
      <c r="AL42" s="9"/>
      <c r="AM42" s="8"/>
      <c r="AN42" s="9"/>
      <c r="AO42" s="8"/>
      <c r="AP42" s="9"/>
      <c r="AQ42" s="8"/>
      <c r="AR42" s="9"/>
      <c r="AS42" s="8"/>
      <c r="AT42" s="9"/>
      <c r="AU42" s="8"/>
      <c r="AV42" s="9"/>
      <c r="AW42" s="8"/>
      <c r="AX42" s="9"/>
      <c r="AY42" s="8"/>
      <c r="AZ42" s="9"/>
      <c r="BA42" s="8"/>
      <c r="BB42" s="9"/>
      <c r="BC42" s="8"/>
      <c r="BD42" s="9"/>
      <c r="BE42" s="8"/>
      <c r="BF42" s="9"/>
      <c r="BG42" s="8"/>
      <c r="BH42" s="9"/>
      <c r="BI42" s="8"/>
      <c r="BJ42" s="9"/>
      <c r="BK42" s="8"/>
      <c r="BL42" s="9"/>
      <c r="BM42" s="8"/>
      <c r="BN42" s="9"/>
      <c r="BO42" s="4"/>
      <c r="BP42" s="4"/>
    </row>
    <row r="43" spans="1:68" x14ac:dyDescent="0.25">
      <c r="C43" s="4"/>
      <c r="D43" s="41"/>
      <c r="E43" s="10"/>
      <c r="F43" s="11"/>
      <c r="G43" s="10"/>
      <c r="H43" s="11"/>
      <c r="I43" s="10"/>
      <c r="J43" s="11"/>
      <c r="K43" s="10"/>
      <c r="L43" s="11"/>
      <c r="M43" s="10"/>
      <c r="N43" s="11"/>
      <c r="O43" s="10"/>
      <c r="P43" s="11"/>
      <c r="Q43" s="10"/>
      <c r="R43" s="11"/>
      <c r="S43" s="10"/>
      <c r="T43" s="11"/>
      <c r="U43" s="10"/>
      <c r="V43" s="11"/>
      <c r="W43" s="10"/>
      <c r="X43" s="11"/>
      <c r="Y43" s="10"/>
      <c r="Z43" s="11"/>
      <c r="AA43" s="10"/>
      <c r="AB43" s="11"/>
      <c r="AC43" s="10"/>
      <c r="AD43" s="11"/>
      <c r="AE43" s="10"/>
      <c r="AF43" s="11"/>
      <c r="AG43" s="10"/>
      <c r="AH43" s="11"/>
      <c r="AI43" s="10"/>
      <c r="AJ43" s="11"/>
      <c r="AK43" s="10"/>
      <c r="AL43" s="11"/>
      <c r="AM43" s="10"/>
      <c r="AN43" s="11"/>
      <c r="AO43" s="10"/>
      <c r="AP43" s="11"/>
      <c r="AQ43" s="10"/>
      <c r="AR43" s="11"/>
      <c r="AS43" s="10"/>
      <c r="AT43" s="11"/>
      <c r="AU43" s="10"/>
      <c r="AV43" s="11"/>
      <c r="AW43" s="10"/>
      <c r="AX43" s="11"/>
      <c r="AY43" s="10"/>
      <c r="AZ43" s="11"/>
      <c r="BA43" s="10"/>
      <c r="BB43" s="11"/>
      <c r="BC43" s="10"/>
      <c r="BD43" s="11"/>
      <c r="BE43" s="10"/>
      <c r="BF43" s="11"/>
      <c r="BG43" s="10"/>
      <c r="BH43" s="11"/>
      <c r="BI43" s="10"/>
      <c r="BJ43" s="11"/>
      <c r="BK43" s="10"/>
      <c r="BL43" s="11"/>
      <c r="BM43" s="10"/>
      <c r="BN43" s="11"/>
      <c r="BO43" s="4"/>
      <c r="BP43" s="4"/>
    </row>
    <row r="44" spans="1:68" x14ac:dyDescent="0.25">
      <c r="C44" s="4"/>
      <c r="D44" s="41"/>
      <c r="E44" s="10"/>
      <c r="F44" s="11"/>
      <c r="G44" s="10"/>
      <c r="H44" s="11"/>
      <c r="I44" s="10"/>
      <c r="J44" s="11"/>
      <c r="K44" s="10"/>
      <c r="L44" s="11"/>
      <c r="M44" s="10"/>
      <c r="N44" s="11"/>
      <c r="O44" s="10"/>
      <c r="P44" s="11"/>
      <c r="Q44" s="10"/>
      <c r="R44" s="11"/>
      <c r="S44" s="10"/>
      <c r="T44" s="11"/>
      <c r="U44" s="10"/>
      <c r="V44" s="11"/>
      <c r="W44" s="10"/>
      <c r="X44" s="11"/>
      <c r="Y44" s="10"/>
      <c r="Z44" s="11"/>
      <c r="AA44" s="10"/>
      <c r="AB44" s="11"/>
      <c r="AC44" s="10"/>
      <c r="AD44" s="11"/>
      <c r="AE44" s="10"/>
      <c r="AF44" s="11"/>
      <c r="AG44" s="10"/>
      <c r="AH44" s="11"/>
      <c r="AI44" s="10"/>
      <c r="AJ44" s="11"/>
      <c r="AK44" s="10"/>
      <c r="AL44" s="11"/>
      <c r="AM44" s="10"/>
      <c r="AN44" s="11"/>
      <c r="AO44" s="10"/>
      <c r="AP44" s="11"/>
      <c r="AQ44" s="10"/>
      <c r="AR44" s="11"/>
      <c r="AS44" s="10"/>
      <c r="AT44" s="11"/>
      <c r="AU44" s="10"/>
      <c r="AV44" s="11"/>
      <c r="AW44" s="10"/>
      <c r="AX44" s="11"/>
      <c r="AY44" s="10"/>
      <c r="AZ44" s="11"/>
      <c r="BA44" s="10"/>
      <c r="BB44" s="11"/>
      <c r="BC44" s="10"/>
      <c r="BD44" s="11"/>
      <c r="BE44" s="10"/>
      <c r="BF44" s="11"/>
      <c r="BG44" s="10"/>
      <c r="BH44" s="11"/>
      <c r="BI44" s="10"/>
      <c r="BJ44" s="11"/>
      <c r="BK44" s="10"/>
      <c r="BL44" s="11"/>
      <c r="BM44" s="10"/>
      <c r="BN44" s="11"/>
      <c r="BO44" s="4"/>
      <c r="BP44" s="4"/>
    </row>
    <row r="45" spans="1:68" x14ac:dyDescent="0.25">
      <c r="C45" s="4"/>
      <c r="D45" s="41"/>
      <c r="E45" s="10"/>
      <c r="F45" s="11"/>
      <c r="G45" s="10"/>
      <c r="H45" s="11"/>
      <c r="I45" s="10"/>
      <c r="J45" s="11"/>
      <c r="K45" s="10"/>
      <c r="L45" s="11"/>
      <c r="M45" s="10"/>
      <c r="N45" s="11"/>
      <c r="O45" s="10"/>
      <c r="P45" s="11"/>
      <c r="Q45" s="10"/>
      <c r="R45" s="11"/>
      <c r="S45" s="10"/>
      <c r="T45" s="11"/>
      <c r="U45" s="10"/>
      <c r="V45" s="11"/>
      <c r="W45" s="10"/>
      <c r="X45" s="11"/>
      <c r="Y45" s="10"/>
      <c r="Z45" s="11"/>
      <c r="AA45" s="10"/>
      <c r="AB45" s="11"/>
      <c r="AC45" s="10"/>
      <c r="AD45" s="11"/>
      <c r="AE45" s="10"/>
      <c r="AF45" s="11"/>
      <c r="AG45" s="10"/>
      <c r="AH45" s="11"/>
      <c r="AI45" s="10"/>
      <c r="AJ45" s="11"/>
      <c r="AK45" s="10"/>
      <c r="AL45" s="11"/>
      <c r="AM45" s="10"/>
      <c r="AN45" s="11"/>
      <c r="AO45" s="10"/>
      <c r="AP45" s="11"/>
      <c r="AQ45" s="10"/>
      <c r="AR45" s="11"/>
      <c r="AS45" s="10"/>
      <c r="AT45" s="11"/>
      <c r="AU45" s="10"/>
      <c r="AV45" s="11"/>
      <c r="AW45" s="10"/>
      <c r="AX45" s="11"/>
      <c r="AY45" s="10"/>
      <c r="AZ45" s="11"/>
      <c r="BA45" s="10"/>
      <c r="BB45" s="11"/>
      <c r="BC45" s="10"/>
      <c r="BD45" s="11"/>
      <c r="BE45" s="10"/>
      <c r="BF45" s="11"/>
      <c r="BG45" s="10"/>
      <c r="BH45" s="11"/>
      <c r="BI45" s="10"/>
      <c r="BJ45" s="11"/>
      <c r="BK45" s="10"/>
      <c r="BL45" s="11"/>
      <c r="BM45" s="10"/>
      <c r="BN45" s="11"/>
      <c r="BO45" s="4"/>
      <c r="BP45" s="4"/>
    </row>
    <row r="46" spans="1:68" x14ac:dyDescent="0.25">
      <c r="C46" s="4"/>
      <c r="D46" s="41"/>
      <c r="E46" s="10"/>
      <c r="F46" s="11"/>
      <c r="G46" s="10"/>
      <c r="H46" s="11"/>
      <c r="I46" s="10"/>
      <c r="J46" s="11"/>
      <c r="K46" s="10"/>
      <c r="L46" s="11"/>
      <c r="M46" s="10"/>
      <c r="N46" s="11"/>
      <c r="O46" s="10"/>
      <c r="P46" s="11"/>
      <c r="Q46" s="10"/>
      <c r="R46" s="11"/>
      <c r="S46" s="10"/>
      <c r="T46" s="11"/>
      <c r="U46" s="10"/>
      <c r="V46" s="11"/>
      <c r="W46" s="10"/>
      <c r="X46" s="11"/>
      <c r="Y46" s="10"/>
      <c r="Z46" s="11"/>
      <c r="AA46" s="10"/>
      <c r="AB46" s="11"/>
      <c r="AC46" s="10"/>
      <c r="AD46" s="11"/>
      <c r="AE46" s="10"/>
      <c r="AF46" s="11"/>
      <c r="AG46" s="10"/>
      <c r="AH46" s="11"/>
      <c r="AI46" s="10"/>
      <c r="AJ46" s="11"/>
      <c r="AK46" s="10"/>
      <c r="AL46" s="11"/>
      <c r="AM46" s="10"/>
      <c r="AN46" s="11"/>
      <c r="AO46" s="10"/>
      <c r="AP46" s="11"/>
      <c r="AQ46" s="10"/>
      <c r="AR46" s="11"/>
      <c r="AS46" s="10"/>
      <c r="AT46" s="11"/>
      <c r="AU46" s="10"/>
      <c r="AV46" s="11"/>
      <c r="AW46" s="10"/>
      <c r="AX46" s="11"/>
      <c r="AY46" s="10"/>
      <c r="AZ46" s="11"/>
      <c r="BA46" s="10"/>
      <c r="BB46" s="11"/>
      <c r="BC46" s="10"/>
      <c r="BD46" s="11"/>
      <c r="BE46" s="10"/>
      <c r="BF46" s="11"/>
      <c r="BG46" s="10"/>
      <c r="BH46" s="11"/>
      <c r="BI46" s="10"/>
      <c r="BJ46" s="11"/>
      <c r="BK46" s="10"/>
      <c r="BL46" s="11"/>
      <c r="BM46" s="10"/>
      <c r="BN46" s="11"/>
      <c r="BO46" s="4"/>
      <c r="BP46" s="4"/>
    </row>
    <row r="47" spans="1:68" x14ac:dyDescent="0.25">
      <c r="C47" s="4"/>
      <c r="D47" s="41"/>
      <c r="E47" s="10"/>
      <c r="F47" s="11"/>
      <c r="G47" s="10"/>
      <c r="H47" s="11"/>
      <c r="I47" s="10"/>
      <c r="J47" s="11"/>
      <c r="K47" s="10"/>
      <c r="L47" s="11"/>
      <c r="M47" s="10"/>
      <c r="N47" s="11"/>
      <c r="O47" s="10"/>
      <c r="P47" s="11"/>
      <c r="Q47" s="10"/>
      <c r="R47" s="11"/>
      <c r="S47" s="10"/>
      <c r="T47" s="11"/>
      <c r="U47" s="10"/>
      <c r="V47" s="11"/>
      <c r="W47" s="10"/>
      <c r="X47" s="11"/>
      <c r="Y47" s="10"/>
      <c r="Z47" s="11"/>
      <c r="AA47" s="10"/>
      <c r="AB47" s="11"/>
      <c r="AC47" s="10"/>
      <c r="AD47" s="11"/>
      <c r="AE47" s="10"/>
      <c r="AF47" s="11"/>
      <c r="AG47" s="10"/>
      <c r="AH47" s="11"/>
      <c r="AI47" s="10"/>
      <c r="AJ47" s="11"/>
      <c r="AK47" s="10"/>
      <c r="AL47" s="11"/>
      <c r="AM47" s="10"/>
      <c r="AN47" s="11"/>
      <c r="AO47" s="10"/>
      <c r="AP47" s="11"/>
      <c r="AQ47" s="10"/>
      <c r="AR47" s="11"/>
      <c r="AS47" s="10"/>
      <c r="AT47" s="11"/>
      <c r="AU47" s="10"/>
      <c r="AV47" s="11"/>
      <c r="AW47" s="10"/>
      <c r="AX47" s="11"/>
      <c r="AY47" s="10"/>
      <c r="AZ47" s="11"/>
      <c r="BA47" s="10"/>
      <c r="BB47" s="11"/>
      <c r="BC47" s="10"/>
      <c r="BD47" s="11"/>
      <c r="BE47" s="10"/>
      <c r="BF47" s="11"/>
      <c r="BG47" s="10"/>
      <c r="BH47" s="11"/>
      <c r="BI47" s="10"/>
      <c r="BJ47" s="11"/>
      <c r="BK47" s="10"/>
      <c r="BL47" s="11"/>
      <c r="BM47" s="10"/>
      <c r="BN47" s="11"/>
      <c r="BO47" s="4"/>
      <c r="BP47" s="4"/>
    </row>
    <row r="48" spans="1:68" x14ac:dyDescent="0.25">
      <c r="C48" s="4"/>
      <c r="D48" s="41"/>
      <c r="E48" s="10"/>
      <c r="F48" s="11"/>
      <c r="G48" s="10"/>
      <c r="H48" s="11"/>
      <c r="I48" s="10"/>
      <c r="J48" s="11"/>
      <c r="K48" s="10"/>
      <c r="L48" s="11"/>
      <c r="M48" s="10"/>
      <c r="N48" s="11"/>
      <c r="O48" s="10"/>
      <c r="P48" s="11"/>
      <c r="Q48" s="10"/>
      <c r="R48" s="11"/>
      <c r="S48" s="10"/>
      <c r="T48" s="11"/>
      <c r="U48" s="10"/>
      <c r="V48" s="11"/>
      <c r="W48" s="10"/>
      <c r="X48" s="11"/>
      <c r="Y48" s="10"/>
      <c r="Z48" s="11"/>
      <c r="AA48" s="10"/>
      <c r="AB48" s="11"/>
      <c r="AC48" s="10"/>
      <c r="AD48" s="11"/>
      <c r="AE48" s="10"/>
      <c r="AF48" s="11"/>
      <c r="AG48" s="10"/>
      <c r="AH48" s="11"/>
      <c r="AI48" s="10"/>
      <c r="AJ48" s="11"/>
      <c r="AK48" s="10"/>
      <c r="AL48" s="11"/>
      <c r="AM48" s="10"/>
      <c r="AN48" s="11"/>
      <c r="AO48" s="10"/>
      <c r="AP48" s="11"/>
      <c r="AQ48" s="10"/>
      <c r="AR48" s="11"/>
      <c r="AS48" s="10"/>
      <c r="AT48" s="11"/>
      <c r="AU48" s="10"/>
      <c r="AV48" s="11"/>
      <c r="AW48" s="10"/>
      <c r="AX48" s="11"/>
      <c r="AY48" s="10"/>
      <c r="AZ48" s="11"/>
      <c r="BA48" s="10"/>
      <c r="BB48" s="11"/>
      <c r="BC48" s="10"/>
      <c r="BD48" s="11"/>
      <c r="BE48" s="10"/>
      <c r="BF48" s="11"/>
      <c r="BG48" s="10"/>
      <c r="BH48" s="11"/>
      <c r="BI48" s="10"/>
      <c r="BJ48" s="11"/>
      <c r="BK48" s="10"/>
      <c r="BL48" s="11"/>
      <c r="BM48" s="10"/>
      <c r="BN48" s="11"/>
      <c r="BO48" s="4"/>
      <c r="BP48" s="4"/>
    </row>
    <row r="49" spans="3:68" x14ac:dyDescent="0.25">
      <c r="C49" s="4"/>
      <c r="D49" s="41"/>
      <c r="E49" s="10"/>
      <c r="F49" s="11"/>
      <c r="G49" s="10"/>
      <c r="H49" s="11"/>
      <c r="I49" s="10"/>
      <c r="J49" s="11"/>
      <c r="K49" s="10"/>
      <c r="L49" s="11"/>
      <c r="M49" s="10"/>
      <c r="N49" s="11"/>
      <c r="O49" s="10"/>
      <c r="P49" s="11"/>
      <c r="Q49" s="10"/>
      <c r="R49" s="11"/>
      <c r="S49" s="10"/>
      <c r="T49" s="11"/>
      <c r="U49" s="10"/>
      <c r="V49" s="11"/>
      <c r="W49" s="10"/>
      <c r="X49" s="11"/>
      <c r="Y49" s="10"/>
      <c r="Z49" s="11"/>
      <c r="AA49" s="10"/>
      <c r="AB49" s="11"/>
      <c r="AC49" s="10"/>
      <c r="AD49" s="11"/>
      <c r="AE49" s="10"/>
      <c r="AF49" s="11"/>
      <c r="AG49" s="10"/>
      <c r="AH49" s="11"/>
      <c r="AI49" s="10"/>
      <c r="AJ49" s="11"/>
      <c r="AK49" s="10"/>
      <c r="AL49" s="11"/>
      <c r="AM49" s="10"/>
      <c r="AN49" s="11"/>
      <c r="AO49" s="10"/>
      <c r="AP49" s="11"/>
      <c r="AQ49" s="10"/>
      <c r="AR49" s="11"/>
      <c r="AS49" s="10"/>
      <c r="AT49" s="11"/>
      <c r="AU49" s="10"/>
      <c r="AV49" s="11"/>
      <c r="AW49" s="10"/>
      <c r="AX49" s="11"/>
      <c r="AY49" s="10"/>
      <c r="AZ49" s="11"/>
      <c r="BA49" s="10"/>
      <c r="BB49" s="11"/>
      <c r="BC49" s="10"/>
      <c r="BD49" s="11"/>
      <c r="BE49" s="10"/>
      <c r="BF49" s="11"/>
      <c r="BG49" s="10"/>
      <c r="BH49" s="11"/>
      <c r="BI49" s="10"/>
      <c r="BJ49" s="11"/>
      <c r="BK49" s="10"/>
      <c r="BL49" s="11"/>
      <c r="BM49" s="10"/>
      <c r="BN49" s="11"/>
      <c r="BO49" s="4"/>
      <c r="BP49" s="4"/>
    </row>
    <row r="50" spans="3:68" x14ac:dyDescent="0.25">
      <c r="C50" s="4"/>
      <c r="D50" s="41"/>
      <c r="E50" s="10"/>
      <c r="F50" s="11"/>
      <c r="G50" s="10"/>
      <c r="H50" s="11"/>
      <c r="I50" s="10"/>
      <c r="J50" s="11"/>
      <c r="K50" s="10"/>
      <c r="L50" s="11"/>
      <c r="M50" s="10"/>
      <c r="N50" s="11"/>
      <c r="O50" s="10"/>
      <c r="P50" s="11"/>
      <c r="Q50" s="10"/>
      <c r="R50" s="11"/>
      <c r="S50" s="10"/>
      <c r="T50" s="11"/>
      <c r="U50" s="10"/>
      <c r="V50" s="11"/>
      <c r="W50" s="10"/>
      <c r="X50" s="11"/>
      <c r="Y50" s="10"/>
      <c r="Z50" s="11"/>
      <c r="AA50" s="10"/>
      <c r="AB50" s="11"/>
      <c r="AC50" s="10"/>
      <c r="AD50" s="11"/>
      <c r="AE50" s="10"/>
      <c r="AF50" s="11"/>
      <c r="AG50" s="10"/>
      <c r="AH50" s="11"/>
      <c r="AI50" s="10"/>
      <c r="AJ50" s="11"/>
      <c r="AK50" s="10"/>
      <c r="AL50" s="11"/>
      <c r="AM50" s="10"/>
      <c r="AN50" s="11"/>
      <c r="AO50" s="10"/>
      <c r="AP50" s="11"/>
      <c r="AQ50" s="10"/>
      <c r="AR50" s="11"/>
      <c r="AS50" s="10"/>
      <c r="AT50" s="11"/>
      <c r="AU50" s="10"/>
      <c r="AV50" s="11"/>
      <c r="AW50" s="10"/>
      <c r="AX50" s="11"/>
      <c r="AY50" s="10"/>
      <c r="AZ50" s="11"/>
      <c r="BA50" s="10"/>
      <c r="BB50" s="11"/>
      <c r="BC50" s="10"/>
      <c r="BD50" s="11"/>
      <c r="BE50" s="10"/>
      <c r="BF50" s="11"/>
      <c r="BG50" s="10"/>
      <c r="BH50" s="11"/>
      <c r="BI50" s="10"/>
      <c r="BJ50" s="11"/>
      <c r="BK50" s="10"/>
      <c r="BL50" s="11"/>
      <c r="BM50" s="10"/>
      <c r="BN50" s="11"/>
      <c r="BO50" s="4"/>
      <c r="BP50" s="4"/>
    </row>
    <row r="51" spans="3:68" x14ac:dyDescent="0.25">
      <c r="C51" s="4"/>
      <c r="D51" s="41"/>
      <c r="E51" s="10"/>
      <c r="F51" s="11"/>
      <c r="G51" s="10"/>
      <c r="H51" s="11"/>
      <c r="I51" s="10"/>
      <c r="J51" s="11"/>
      <c r="K51" s="10"/>
      <c r="L51" s="11"/>
      <c r="M51" s="10"/>
      <c r="N51" s="11"/>
      <c r="O51" s="10"/>
      <c r="P51" s="11"/>
      <c r="Q51" s="10"/>
      <c r="R51" s="11"/>
      <c r="S51" s="10"/>
      <c r="T51" s="11"/>
      <c r="U51" s="10"/>
      <c r="V51" s="11"/>
      <c r="W51" s="10"/>
      <c r="X51" s="11"/>
      <c r="Y51" s="10"/>
      <c r="Z51" s="11"/>
      <c r="AA51" s="10"/>
      <c r="AB51" s="11"/>
      <c r="AC51" s="10"/>
      <c r="AD51" s="11"/>
      <c r="AE51" s="10"/>
      <c r="AF51" s="11"/>
      <c r="AG51" s="10"/>
      <c r="AH51" s="11"/>
      <c r="AI51" s="10"/>
      <c r="AJ51" s="11"/>
      <c r="AK51" s="10"/>
      <c r="AL51" s="11"/>
      <c r="AM51" s="10"/>
      <c r="AN51" s="11"/>
      <c r="AO51" s="10"/>
      <c r="AP51" s="11"/>
      <c r="AQ51" s="10"/>
      <c r="AR51" s="11"/>
      <c r="AS51" s="10"/>
      <c r="AT51" s="11"/>
      <c r="AU51" s="10"/>
      <c r="AV51" s="11"/>
      <c r="AW51" s="10"/>
      <c r="AX51" s="11"/>
      <c r="AY51" s="10"/>
      <c r="AZ51" s="11"/>
      <c r="BA51" s="10"/>
      <c r="BB51" s="11"/>
      <c r="BC51" s="10"/>
      <c r="BD51" s="11"/>
      <c r="BE51" s="10"/>
      <c r="BF51" s="11"/>
      <c r="BG51" s="10"/>
      <c r="BH51" s="11"/>
      <c r="BI51" s="10"/>
      <c r="BJ51" s="11"/>
      <c r="BK51" s="10"/>
      <c r="BL51" s="11"/>
      <c r="BM51" s="10"/>
      <c r="BN51" s="11"/>
      <c r="BO51" s="4"/>
      <c r="BP51" s="4"/>
    </row>
    <row r="52" spans="3:68" x14ac:dyDescent="0.25">
      <c r="C52" s="4"/>
      <c r="D52" s="41"/>
      <c r="E52" s="10"/>
      <c r="F52" s="11"/>
      <c r="G52" s="10"/>
      <c r="H52" s="11"/>
      <c r="I52" s="10"/>
      <c r="J52" s="11"/>
      <c r="K52" s="10"/>
      <c r="L52" s="11"/>
      <c r="M52" s="10"/>
      <c r="N52" s="11"/>
      <c r="O52" s="10"/>
      <c r="P52" s="11"/>
      <c r="Q52" s="10"/>
      <c r="R52" s="11"/>
      <c r="S52" s="10"/>
      <c r="T52" s="11"/>
      <c r="U52" s="10"/>
      <c r="V52" s="11"/>
      <c r="W52" s="10"/>
      <c r="X52" s="11"/>
      <c r="Y52" s="10"/>
      <c r="Z52" s="11"/>
      <c r="AA52" s="10"/>
      <c r="AB52" s="11"/>
      <c r="AC52" s="10"/>
      <c r="AD52" s="11"/>
      <c r="AE52" s="10"/>
      <c r="AF52" s="11"/>
      <c r="AG52" s="10"/>
      <c r="AH52" s="11"/>
      <c r="AI52" s="10"/>
      <c r="AJ52" s="11"/>
      <c r="AK52" s="10"/>
      <c r="AL52" s="11"/>
      <c r="AM52" s="10"/>
      <c r="AN52" s="11"/>
      <c r="AO52" s="10"/>
      <c r="AP52" s="11"/>
      <c r="AQ52" s="10"/>
      <c r="AR52" s="11"/>
      <c r="AS52" s="10"/>
      <c r="AT52" s="11"/>
      <c r="AU52" s="10"/>
      <c r="AV52" s="11"/>
      <c r="AW52" s="10"/>
      <c r="AX52" s="11"/>
      <c r="AY52" s="10"/>
      <c r="AZ52" s="11"/>
      <c r="BA52" s="10"/>
      <c r="BB52" s="11"/>
      <c r="BC52" s="10"/>
      <c r="BD52" s="11"/>
      <c r="BE52" s="10"/>
      <c r="BF52" s="11"/>
      <c r="BG52" s="10"/>
      <c r="BH52" s="11"/>
      <c r="BI52" s="10"/>
      <c r="BJ52" s="11"/>
      <c r="BK52" s="10"/>
      <c r="BL52" s="11"/>
      <c r="BM52" s="10"/>
      <c r="BN52" s="11"/>
      <c r="BO52" s="4"/>
      <c r="BP52" s="4"/>
    </row>
    <row r="53" spans="3:68" x14ac:dyDescent="0.25">
      <c r="C53" s="4"/>
      <c r="D53" s="41"/>
      <c r="E53" s="10"/>
      <c r="F53" s="11"/>
      <c r="G53" s="10"/>
      <c r="H53" s="11"/>
      <c r="I53" s="10"/>
      <c r="J53" s="11"/>
      <c r="K53" s="10"/>
      <c r="L53" s="11"/>
      <c r="M53" s="10"/>
      <c r="N53" s="11"/>
      <c r="O53" s="10"/>
      <c r="P53" s="11"/>
      <c r="Q53" s="10"/>
      <c r="R53" s="11"/>
      <c r="S53" s="10"/>
      <c r="T53" s="11"/>
      <c r="U53" s="10"/>
      <c r="V53" s="11"/>
      <c r="W53" s="10"/>
      <c r="X53" s="11"/>
      <c r="Y53" s="10"/>
      <c r="Z53" s="11"/>
      <c r="AA53" s="10"/>
      <c r="AB53" s="11"/>
      <c r="AC53" s="10"/>
      <c r="AD53" s="11"/>
      <c r="AE53" s="10"/>
      <c r="AF53" s="11"/>
      <c r="AG53" s="10"/>
      <c r="AH53" s="11"/>
      <c r="AI53" s="10"/>
      <c r="AJ53" s="11"/>
      <c r="AK53" s="10"/>
      <c r="AL53" s="11"/>
      <c r="AM53" s="10"/>
      <c r="AN53" s="11"/>
      <c r="AO53" s="10"/>
      <c r="AP53" s="11"/>
      <c r="AQ53" s="10"/>
      <c r="AR53" s="11"/>
      <c r="AS53" s="10"/>
      <c r="AT53" s="11"/>
      <c r="AU53" s="10"/>
      <c r="AV53" s="11"/>
      <c r="AW53" s="10"/>
      <c r="AX53" s="11"/>
      <c r="AY53" s="10"/>
      <c r="AZ53" s="11"/>
      <c r="BA53" s="10"/>
      <c r="BB53" s="11"/>
      <c r="BC53" s="10"/>
      <c r="BD53" s="11"/>
      <c r="BE53" s="10"/>
      <c r="BF53" s="11"/>
      <c r="BG53" s="10"/>
      <c r="BH53" s="11"/>
      <c r="BI53" s="10"/>
      <c r="BJ53" s="11"/>
      <c r="BK53" s="10"/>
      <c r="BL53" s="11"/>
      <c r="BM53" s="10"/>
      <c r="BN53" s="11"/>
      <c r="BO53" s="4"/>
      <c r="BP53" s="4"/>
    </row>
    <row r="54" spans="3:68" x14ac:dyDescent="0.25">
      <c r="C54" s="4"/>
      <c r="D54" s="41"/>
      <c r="E54" s="10"/>
      <c r="F54" s="11"/>
      <c r="G54" s="10"/>
      <c r="H54" s="11"/>
      <c r="I54" s="10"/>
      <c r="J54" s="11"/>
      <c r="K54" s="10"/>
      <c r="L54" s="11"/>
      <c r="M54" s="10"/>
      <c r="N54" s="11"/>
      <c r="O54" s="10"/>
      <c r="P54" s="11"/>
      <c r="Q54" s="10"/>
      <c r="R54" s="11"/>
      <c r="S54" s="10"/>
      <c r="T54" s="11"/>
      <c r="U54" s="10"/>
      <c r="V54" s="11"/>
      <c r="W54" s="10"/>
      <c r="X54" s="11"/>
      <c r="Y54" s="10"/>
      <c r="Z54" s="11"/>
      <c r="AA54" s="10"/>
      <c r="AB54" s="11"/>
      <c r="AC54" s="10"/>
      <c r="AD54" s="11"/>
      <c r="AE54" s="10"/>
      <c r="AF54" s="11"/>
      <c r="AG54" s="10"/>
      <c r="AH54" s="11"/>
      <c r="AI54" s="10"/>
      <c r="AJ54" s="11"/>
      <c r="AK54" s="10"/>
      <c r="AL54" s="11"/>
      <c r="AM54" s="10"/>
      <c r="AN54" s="11"/>
      <c r="AO54" s="10"/>
      <c r="AP54" s="11"/>
      <c r="AQ54" s="10"/>
      <c r="AR54" s="11"/>
      <c r="AS54" s="10"/>
      <c r="AT54" s="11"/>
      <c r="AU54" s="10"/>
      <c r="AV54" s="11"/>
      <c r="AW54" s="10"/>
      <c r="AX54" s="11"/>
      <c r="AY54" s="10"/>
      <c r="AZ54" s="11"/>
      <c r="BA54" s="10"/>
      <c r="BB54" s="11"/>
      <c r="BC54" s="10"/>
      <c r="BD54" s="11"/>
      <c r="BE54" s="10"/>
      <c r="BF54" s="11"/>
      <c r="BG54" s="10"/>
      <c r="BH54" s="11"/>
      <c r="BI54" s="10"/>
      <c r="BJ54" s="11"/>
      <c r="BK54" s="10"/>
      <c r="BL54" s="11"/>
      <c r="BM54" s="10"/>
      <c r="BN54" s="11"/>
      <c r="BO54" s="4"/>
      <c r="BP54" s="4"/>
    </row>
    <row r="55" spans="3:68" x14ac:dyDescent="0.25">
      <c r="C55" s="4"/>
      <c r="D55" s="41"/>
      <c r="E55" s="10"/>
      <c r="F55" s="11"/>
      <c r="G55" s="10"/>
      <c r="H55" s="11"/>
      <c r="I55" s="10"/>
      <c r="J55" s="11"/>
      <c r="K55" s="10"/>
      <c r="L55" s="11"/>
      <c r="M55" s="10"/>
      <c r="N55" s="11"/>
      <c r="O55" s="10"/>
      <c r="P55" s="11"/>
      <c r="Q55" s="10"/>
      <c r="R55" s="11"/>
      <c r="S55" s="10"/>
      <c r="T55" s="11"/>
      <c r="U55" s="10"/>
      <c r="V55" s="11"/>
      <c r="W55" s="10"/>
      <c r="X55" s="11"/>
      <c r="Y55" s="10"/>
      <c r="Z55" s="11"/>
      <c r="AA55" s="10"/>
      <c r="AB55" s="11"/>
      <c r="AC55" s="10"/>
      <c r="AD55" s="11"/>
      <c r="AE55" s="10"/>
      <c r="AF55" s="11"/>
      <c r="AG55" s="10"/>
      <c r="AH55" s="11"/>
      <c r="AI55" s="10"/>
      <c r="AJ55" s="11"/>
      <c r="AK55" s="10"/>
      <c r="AL55" s="11"/>
      <c r="AM55" s="10"/>
      <c r="AN55" s="11"/>
      <c r="AO55" s="10"/>
      <c r="AP55" s="11"/>
      <c r="AQ55" s="10"/>
      <c r="AR55" s="11"/>
      <c r="AS55" s="10"/>
      <c r="AT55" s="11"/>
      <c r="AU55" s="10"/>
      <c r="AV55" s="11"/>
      <c r="AW55" s="10"/>
      <c r="AX55" s="11"/>
      <c r="AY55" s="10"/>
      <c r="AZ55" s="11"/>
      <c r="BA55" s="10"/>
      <c r="BB55" s="11"/>
      <c r="BC55" s="10"/>
      <c r="BD55" s="11"/>
      <c r="BE55" s="10"/>
      <c r="BF55" s="11"/>
      <c r="BG55" s="10"/>
      <c r="BH55" s="11"/>
      <c r="BI55" s="10"/>
      <c r="BJ55" s="11"/>
      <c r="BK55" s="10"/>
      <c r="BL55" s="11"/>
      <c r="BM55" s="10"/>
      <c r="BN55" s="11"/>
      <c r="BO55" s="4"/>
      <c r="BP55" s="4"/>
    </row>
    <row r="56" spans="3:68" x14ac:dyDescent="0.25">
      <c r="C56" s="4"/>
      <c r="D56" s="41"/>
      <c r="E56" s="10"/>
      <c r="F56" s="11"/>
      <c r="G56" s="10"/>
      <c r="H56" s="11"/>
      <c r="I56" s="10"/>
      <c r="J56" s="11"/>
      <c r="K56" s="10"/>
      <c r="L56" s="11"/>
      <c r="M56" s="10"/>
      <c r="N56" s="11"/>
      <c r="O56" s="10"/>
      <c r="P56" s="11"/>
      <c r="Q56" s="10"/>
      <c r="R56" s="11"/>
      <c r="S56" s="10"/>
      <c r="T56" s="11"/>
      <c r="U56" s="10"/>
      <c r="V56" s="11"/>
      <c r="W56" s="10"/>
      <c r="X56" s="11"/>
      <c r="Y56" s="10"/>
      <c r="Z56" s="11"/>
      <c r="AA56" s="10"/>
      <c r="AB56" s="11"/>
      <c r="AC56" s="10"/>
      <c r="AD56" s="11"/>
      <c r="AE56" s="10"/>
      <c r="AF56" s="11"/>
      <c r="AG56" s="10"/>
      <c r="AH56" s="11"/>
      <c r="AI56" s="10"/>
      <c r="AJ56" s="11"/>
      <c r="AK56" s="10"/>
      <c r="AL56" s="11"/>
      <c r="AM56" s="10"/>
      <c r="AN56" s="11"/>
      <c r="AO56" s="10"/>
      <c r="AP56" s="11"/>
      <c r="AQ56" s="10"/>
      <c r="AR56" s="11"/>
      <c r="AS56" s="10"/>
      <c r="AT56" s="11"/>
      <c r="AU56" s="10"/>
      <c r="AV56" s="11"/>
      <c r="AW56" s="10"/>
      <c r="AX56" s="11"/>
      <c r="AY56" s="10"/>
      <c r="AZ56" s="11"/>
      <c r="BA56" s="10"/>
      <c r="BB56" s="11"/>
      <c r="BC56" s="10"/>
      <c r="BD56" s="11"/>
      <c r="BE56" s="10"/>
      <c r="BF56" s="11"/>
      <c r="BG56" s="10"/>
      <c r="BH56" s="11"/>
      <c r="BI56" s="10"/>
      <c r="BJ56" s="11"/>
      <c r="BK56" s="10"/>
      <c r="BL56" s="11"/>
      <c r="BM56" s="10"/>
      <c r="BN56" s="11"/>
      <c r="BO56" s="4"/>
      <c r="BP56" s="4"/>
    </row>
    <row r="57" spans="3:68" x14ac:dyDescent="0.25">
      <c r="C57" s="4"/>
      <c r="D57" s="41"/>
      <c r="E57" s="10"/>
      <c r="F57" s="11"/>
      <c r="G57" s="10"/>
      <c r="H57" s="11"/>
      <c r="I57" s="10"/>
      <c r="J57" s="11"/>
      <c r="K57" s="10"/>
      <c r="L57" s="11"/>
      <c r="M57" s="10"/>
      <c r="N57" s="11"/>
      <c r="O57" s="10"/>
      <c r="P57" s="11"/>
      <c r="Q57" s="10"/>
      <c r="R57" s="11"/>
      <c r="S57" s="10"/>
      <c r="T57" s="11"/>
      <c r="U57" s="10"/>
      <c r="V57" s="11"/>
      <c r="W57" s="10"/>
      <c r="X57" s="11"/>
      <c r="Y57" s="10"/>
      <c r="Z57" s="11"/>
      <c r="AA57" s="10"/>
      <c r="AB57" s="11"/>
      <c r="AC57" s="10"/>
      <c r="AD57" s="11"/>
      <c r="AE57" s="10"/>
      <c r="AF57" s="11"/>
      <c r="AG57" s="10"/>
      <c r="AH57" s="11"/>
      <c r="AI57" s="10"/>
      <c r="AJ57" s="11"/>
      <c r="AK57" s="10"/>
      <c r="AL57" s="11"/>
      <c r="AM57" s="10"/>
      <c r="AN57" s="11"/>
      <c r="AO57" s="10"/>
      <c r="AP57" s="11"/>
      <c r="AQ57" s="10"/>
      <c r="AR57" s="11"/>
      <c r="AS57" s="10"/>
      <c r="AT57" s="11"/>
      <c r="AU57" s="10"/>
      <c r="AV57" s="11"/>
      <c r="AW57" s="10"/>
      <c r="AX57" s="11"/>
      <c r="AY57" s="10"/>
      <c r="AZ57" s="11"/>
      <c r="BA57" s="10"/>
      <c r="BB57" s="11"/>
      <c r="BC57" s="10"/>
      <c r="BD57" s="11"/>
      <c r="BE57" s="10"/>
      <c r="BF57" s="11"/>
      <c r="BG57" s="10"/>
      <c r="BH57" s="11"/>
      <c r="BI57" s="10"/>
      <c r="BJ57" s="11"/>
      <c r="BK57" s="10"/>
      <c r="BL57" s="11"/>
      <c r="BM57" s="10"/>
      <c r="BN57" s="11"/>
      <c r="BO57" s="4"/>
      <c r="BP57" s="4"/>
    </row>
    <row r="58" spans="3:68" x14ac:dyDescent="0.25">
      <c r="C58" s="4"/>
      <c r="D58" s="41"/>
      <c r="E58" s="10"/>
      <c r="F58" s="11"/>
      <c r="G58" s="10"/>
      <c r="H58" s="11"/>
      <c r="I58" s="10"/>
      <c r="J58" s="11"/>
      <c r="K58" s="10"/>
      <c r="L58" s="11"/>
      <c r="M58" s="10"/>
      <c r="N58" s="11"/>
      <c r="O58" s="10"/>
      <c r="P58" s="11"/>
      <c r="Q58" s="10"/>
      <c r="R58" s="11"/>
      <c r="S58" s="10"/>
      <c r="T58" s="11"/>
      <c r="U58" s="10"/>
      <c r="V58" s="11"/>
      <c r="W58" s="10"/>
      <c r="X58" s="11"/>
      <c r="Y58" s="10"/>
      <c r="Z58" s="11"/>
      <c r="AA58" s="10"/>
      <c r="AB58" s="11"/>
      <c r="AC58" s="10"/>
      <c r="AD58" s="11"/>
      <c r="AE58" s="10"/>
      <c r="AF58" s="11"/>
      <c r="AG58" s="10"/>
      <c r="AH58" s="11"/>
      <c r="AI58" s="10"/>
      <c r="AJ58" s="11"/>
      <c r="AK58" s="10"/>
      <c r="AL58" s="11"/>
      <c r="AM58" s="10"/>
      <c r="AN58" s="11"/>
      <c r="AO58" s="10"/>
      <c r="AP58" s="11"/>
      <c r="AQ58" s="10"/>
      <c r="AR58" s="11"/>
      <c r="AS58" s="10"/>
      <c r="AT58" s="11"/>
      <c r="AU58" s="10"/>
      <c r="AV58" s="11"/>
      <c r="AW58" s="10"/>
      <c r="AX58" s="11"/>
      <c r="AY58" s="10"/>
      <c r="AZ58" s="11"/>
      <c r="BA58" s="10"/>
      <c r="BB58" s="11"/>
      <c r="BC58" s="10"/>
      <c r="BD58" s="11"/>
      <c r="BE58" s="10"/>
      <c r="BF58" s="11"/>
      <c r="BG58" s="10"/>
      <c r="BH58" s="11"/>
      <c r="BI58" s="10"/>
      <c r="BJ58" s="11"/>
      <c r="BK58" s="10"/>
      <c r="BL58" s="11"/>
      <c r="BM58" s="10"/>
      <c r="BN58" s="11"/>
      <c r="BO58" s="4"/>
      <c r="BP58" s="4"/>
    </row>
    <row r="59" spans="3:68" x14ac:dyDescent="0.25">
      <c r="C59" s="4"/>
      <c r="D59" s="41"/>
      <c r="E59" s="10"/>
      <c r="F59" s="11"/>
      <c r="G59" s="10"/>
      <c r="H59" s="11"/>
      <c r="I59" s="10"/>
      <c r="J59" s="11"/>
      <c r="K59" s="10"/>
      <c r="L59" s="11"/>
      <c r="M59" s="10"/>
      <c r="N59" s="11"/>
      <c r="O59" s="10"/>
      <c r="P59" s="11"/>
      <c r="Q59" s="10"/>
      <c r="R59" s="11"/>
      <c r="S59" s="10"/>
      <c r="T59" s="11"/>
      <c r="U59" s="10"/>
      <c r="V59" s="11"/>
      <c r="W59" s="10"/>
      <c r="X59" s="11"/>
      <c r="Y59" s="10"/>
      <c r="Z59" s="11"/>
      <c r="AA59" s="10"/>
      <c r="AB59" s="11"/>
      <c r="AC59" s="10"/>
      <c r="AD59" s="11"/>
      <c r="AE59" s="10"/>
      <c r="AF59" s="11"/>
      <c r="AG59" s="10"/>
      <c r="AH59" s="11"/>
      <c r="AI59" s="10"/>
      <c r="AJ59" s="11"/>
      <c r="AK59" s="10"/>
      <c r="AL59" s="11"/>
      <c r="AM59" s="10"/>
      <c r="AN59" s="11"/>
      <c r="AO59" s="10"/>
      <c r="AP59" s="11"/>
      <c r="AQ59" s="10"/>
      <c r="AR59" s="11"/>
      <c r="AS59" s="10"/>
      <c r="AT59" s="11"/>
      <c r="AU59" s="10"/>
      <c r="AV59" s="11"/>
      <c r="AW59" s="10"/>
      <c r="AX59" s="11"/>
      <c r="AY59" s="10"/>
      <c r="AZ59" s="11"/>
      <c r="BA59" s="10"/>
      <c r="BB59" s="11"/>
      <c r="BC59" s="10"/>
      <c r="BD59" s="11"/>
      <c r="BE59" s="10"/>
      <c r="BF59" s="11"/>
      <c r="BG59" s="10"/>
      <c r="BH59" s="11"/>
      <c r="BI59" s="10"/>
      <c r="BJ59" s="11"/>
      <c r="BK59" s="10"/>
      <c r="BL59" s="11"/>
      <c r="BM59" s="10"/>
      <c r="BN59" s="11"/>
      <c r="BO59" s="4"/>
      <c r="BP59" s="4"/>
    </row>
    <row r="60" spans="3:68" x14ac:dyDescent="0.25">
      <c r="C60" s="4"/>
      <c r="D60" s="41"/>
      <c r="E60" s="10"/>
      <c r="F60" s="11"/>
      <c r="G60" s="10"/>
      <c r="H60" s="11"/>
      <c r="I60" s="10"/>
      <c r="J60" s="11"/>
      <c r="K60" s="10"/>
      <c r="L60" s="11"/>
      <c r="M60" s="10"/>
      <c r="N60" s="11"/>
      <c r="O60" s="10"/>
      <c r="P60" s="11"/>
      <c r="Q60" s="10"/>
      <c r="R60" s="11"/>
      <c r="S60" s="10"/>
      <c r="T60" s="11"/>
      <c r="U60" s="10"/>
      <c r="V60" s="11"/>
      <c r="W60" s="10"/>
      <c r="X60" s="11"/>
      <c r="Y60" s="10"/>
      <c r="Z60" s="11"/>
      <c r="AA60" s="10"/>
      <c r="AB60" s="11"/>
      <c r="AC60" s="10"/>
      <c r="AD60" s="11"/>
      <c r="AE60" s="10"/>
      <c r="AF60" s="11"/>
      <c r="AG60" s="10"/>
      <c r="AH60" s="11"/>
      <c r="AI60" s="10"/>
      <c r="AJ60" s="11"/>
      <c r="AK60" s="10"/>
      <c r="AL60" s="11"/>
      <c r="AM60" s="10"/>
      <c r="AN60" s="11"/>
      <c r="AO60" s="10"/>
      <c r="AP60" s="11"/>
      <c r="AQ60" s="10"/>
      <c r="AR60" s="11"/>
      <c r="AS60" s="10"/>
      <c r="AT60" s="11"/>
      <c r="AU60" s="10"/>
      <c r="AV60" s="11"/>
      <c r="AW60" s="10"/>
      <c r="AX60" s="11"/>
      <c r="AY60" s="10"/>
      <c r="AZ60" s="11"/>
      <c r="BA60" s="10"/>
      <c r="BB60" s="11"/>
      <c r="BC60" s="10"/>
      <c r="BD60" s="11"/>
      <c r="BE60" s="10"/>
      <c r="BF60" s="11"/>
      <c r="BG60" s="10"/>
      <c r="BH60" s="11"/>
      <c r="BI60" s="10"/>
      <c r="BJ60" s="11"/>
      <c r="BK60" s="10"/>
      <c r="BL60" s="11"/>
      <c r="BM60" s="10"/>
      <c r="BN60" s="11"/>
      <c r="BO60" s="4"/>
      <c r="BP60" s="4"/>
    </row>
    <row r="61" spans="3:68" x14ac:dyDescent="0.25">
      <c r="C61" s="4"/>
      <c r="D61" s="41"/>
      <c r="E61" s="10"/>
      <c r="F61" s="11"/>
      <c r="G61" s="10"/>
      <c r="H61" s="11"/>
      <c r="I61" s="10"/>
      <c r="J61" s="11"/>
      <c r="K61" s="10"/>
      <c r="L61" s="11"/>
      <c r="M61" s="10"/>
      <c r="N61" s="11"/>
      <c r="O61" s="10"/>
      <c r="P61" s="11"/>
      <c r="Q61" s="10"/>
      <c r="R61" s="11"/>
      <c r="S61" s="10"/>
      <c r="T61" s="11"/>
      <c r="U61" s="10"/>
      <c r="V61" s="11"/>
      <c r="W61" s="10"/>
      <c r="X61" s="11"/>
      <c r="Y61" s="10"/>
      <c r="Z61" s="11"/>
      <c r="AA61" s="10"/>
      <c r="AB61" s="11"/>
      <c r="AC61" s="10"/>
      <c r="AD61" s="11"/>
      <c r="AE61" s="10"/>
      <c r="AF61" s="11"/>
      <c r="AG61" s="10"/>
      <c r="AH61" s="11"/>
      <c r="AI61" s="10"/>
      <c r="AJ61" s="11"/>
      <c r="AK61" s="10"/>
      <c r="AL61" s="11"/>
      <c r="AM61" s="10"/>
      <c r="AN61" s="11"/>
      <c r="AO61" s="10"/>
      <c r="AP61" s="11"/>
      <c r="AQ61" s="10"/>
      <c r="AR61" s="11"/>
      <c r="AS61" s="10"/>
      <c r="AT61" s="11"/>
      <c r="AU61" s="10"/>
      <c r="AV61" s="11"/>
      <c r="AW61" s="10"/>
      <c r="AX61" s="11"/>
      <c r="AY61" s="10"/>
      <c r="AZ61" s="11"/>
      <c r="BA61" s="10"/>
      <c r="BB61" s="11"/>
      <c r="BC61" s="10"/>
      <c r="BD61" s="11"/>
      <c r="BE61" s="10"/>
      <c r="BF61" s="11"/>
      <c r="BG61" s="10"/>
      <c r="BH61" s="11"/>
      <c r="BI61" s="10"/>
      <c r="BJ61" s="11"/>
      <c r="BK61" s="10"/>
      <c r="BL61" s="11"/>
      <c r="BM61" s="10"/>
      <c r="BN61" s="11"/>
      <c r="BO61" s="4"/>
      <c r="BP61" s="4"/>
    </row>
    <row r="62" spans="3:68" x14ac:dyDescent="0.25">
      <c r="C62" s="4"/>
      <c r="D62" s="41"/>
      <c r="E62" s="10"/>
      <c r="F62" s="11"/>
      <c r="G62" s="10"/>
      <c r="H62" s="11"/>
      <c r="I62" s="10"/>
      <c r="J62" s="11"/>
      <c r="K62" s="10"/>
      <c r="L62" s="11"/>
      <c r="M62" s="10"/>
      <c r="N62" s="11"/>
      <c r="O62" s="10"/>
      <c r="P62" s="11"/>
      <c r="Q62" s="10"/>
      <c r="R62" s="11"/>
      <c r="S62" s="10"/>
      <c r="T62" s="11"/>
      <c r="U62" s="10"/>
      <c r="V62" s="11"/>
      <c r="W62" s="10"/>
      <c r="X62" s="11"/>
      <c r="Y62" s="10"/>
      <c r="Z62" s="11"/>
      <c r="AA62" s="10"/>
      <c r="AB62" s="11"/>
      <c r="AC62" s="10"/>
      <c r="AD62" s="11"/>
      <c r="AE62" s="10"/>
      <c r="AF62" s="11"/>
      <c r="AG62" s="10"/>
      <c r="AH62" s="11"/>
      <c r="AI62" s="10"/>
      <c r="AJ62" s="11"/>
      <c r="AK62" s="10"/>
      <c r="AL62" s="11"/>
      <c r="AM62" s="10"/>
      <c r="AN62" s="11"/>
      <c r="AO62" s="10"/>
      <c r="AP62" s="11"/>
      <c r="AQ62" s="10"/>
      <c r="AR62" s="11"/>
      <c r="AS62" s="10"/>
      <c r="AT62" s="11"/>
      <c r="AU62" s="10"/>
      <c r="AV62" s="11"/>
      <c r="AW62" s="10"/>
      <c r="AX62" s="11"/>
      <c r="AY62" s="10"/>
      <c r="AZ62" s="11"/>
      <c r="BA62" s="10"/>
      <c r="BB62" s="11"/>
      <c r="BC62" s="10"/>
      <c r="BD62" s="11"/>
      <c r="BE62" s="10"/>
      <c r="BF62" s="11"/>
      <c r="BG62" s="10"/>
      <c r="BH62" s="11"/>
      <c r="BI62" s="10"/>
      <c r="BJ62" s="11"/>
      <c r="BK62" s="10"/>
      <c r="BL62" s="11"/>
      <c r="BM62" s="10"/>
      <c r="BN62" s="11"/>
      <c r="BO62" s="4"/>
      <c r="BP62" s="4"/>
    </row>
    <row r="63" spans="3:68" x14ac:dyDescent="0.25">
      <c r="C63" s="4"/>
      <c r="D63" s="41"/>
      <c r="E63" s="10"/>
      <c r="F63" s="11"/>
      <c r="G63" s="10"/>
      <c r="H63" s="11"/>
      <c r="I63" s="10"/>
      <c r="J63" s="11"/>
      <c r="K63" s="10"/>
      <c r="L63" s="11"/>
      <c r="M63" s="10"/>
      <c r="N63" s="11"/>
      <c r="O63" s="10"/>
      <c r="P63" s="11"/>
      <c r="Q63" s="10"/>
      <c r="R63" s="11"/>
      <c r="S63" s="10"/>
      <c r="T63" s="11"/>
      <c r="U63" s="10"/>
      <c r="V63" s="11"/>
      <c r="W63" s="10"/>
      <c r="X63" s="11"/>
      <c r="Y63" s="10"/>
      <c r="Z63" s="11"/>
      <c r="AA63" s="10"/>
      <c r="AB63" s="11"/>
      <c r="AC63" s="10"/>
      <c r="AD63" s="11"/>
      <c r="AE63" s="10"/>
      <c r="AF63" s="11"/>
      <c r="AG63" s="10"/>
      <c r="AH63" s="11"/>
      <c r="AI63" s="10"/>
      <c r="AJ63" s="11"/>
      <c r="AK63" s="10"/>
      <c r="AL63" s="11"/>
      <c r="AM63" s="10"/>
      <c r="AN63" s="11"/>
      <c r="AO63" s="10"/>
      <c r="AP63" s="11"/>
      <c r="AQ63" s="10"/>
      <c r="AR63" s="11"/>
      <c r="AS63" s="10"/>
      <c r="AT63" s="11"/>
      <c r="AU63" s="10"/>
      <c r="AV63" s="11"/>
      <c r="AW63" s="10"/>
      <c r="AX63" s="11"/>
      <c r="AY63" s="10"/>
      <c r="AZ63" s="11"/>
      <c r="BA63" s="10"/>
      <c r="BB63" s="11"/>
      <c r="BC63" s="10"/>
      <c r="BD63" s="11"/>
      <c r="BE63" s="10"/>
      <c r="BF63" s="11"/>
      <c r="BG63" s="10"/>
      <c r="BH63" s="11"/>
      <c r="BI63" s="10"/>
      <c r="BJ63" s="11"/>
      <c r="BK63" s="10"/>
      <c r="BL63" s="11"/>
      <c r="BM63" s="10"/>
      <c r="BN63" s="11"/>
      <c r="BO63" s="4"/>
      <c r="BP63" s="4"/>
    </row>
    <row r="64" spans="3:68" x14ac:dyDescent="0.25">
      <c r="C64" s="4"/>
      <c r="D64" s="41"/>
      <c r="E64" s="10"/>
      <c r="F64" s="11"/>
      <c r="G64" s="10"/>
      <c r="H64" s="11"/>
      <c r="I64" s="10"/>
      <c r="J64" s="11"/>
      <c r="K64" s="10"/>
      <c r="L64" s="11"/>
      <c r="M64" s="10"/>
      <c r="N64" s="11"/>
      <c r="O64" s="10"/>
      <c r="P64" s="11"/>
      <c r="Q64" s="10"/>
      <c r="R64" s="11"/>
      <c r="S64" s="10"/>
      <c r="T64" s="11"/>
      <c r="U64" s="10"/>
      <c r="V64" s="11"/>
      <c r="W64" s="10"/>
      <c r="X64" s="11"/>
      <c r="Y64" s="10"/>
      <c r="Z64" s="11"/>
      <c r="AA64" s="10"/>
      <c r="AB64" s="11"/>
      <c r="AC64" s="10"/>
      <c r="AD64" s="11"/>
      <c r="AE64" s="10"/>
      <c r="AF64" s="11"/>
      <c r="AG64" s="10"/>
      <c r="AH64" s="11"/>
      <c r="AI64" s="10"/>
      <c r="AJ64" s="11"/>
      <c r="AK64" s="10"/>
      <c r="AL64" s="11"/>
      <c r="AM64" s="10"/>
      <c r="AN64" s="11"/>
      <c r="AO64" s="10"/>
      <c r="AP64" s="11"/>
      <c r="AQ64" s="10"/>
      <c r="AR64" s="11"/>
      <c r="AS64" s="10"/>
      <c r="AT64" s="11"/>
      <c r="AU64" s="10"/>
      <c r="AV64" s="11"/>
      <c r="AW64" s="10"/>
      <c r="AX64" s="11"/>
      <c r="AY64" s="10"/>
      <c r="AZ64" s="11"/>
      <c r="BA64" s="10"/>
      <c r="BB64" s="11"/>
      <c r="BC64" s="10"/>
      <c r="BD64" s="11"/>
      <c r="BE64" s="10"/>
      <c r="BF64" s="11"/>
      <c r="BG64" s="10"/>
      <c r="BH64" s="11"/>
      <c r="BI64" s="10"/>
      <c r="BJ64" s="11"/>
      <c r="BK64" s="10"/>
      <c r="BL64" s="11"/>
      <c r="BM64" s="10"/>
      <c r="BN64" s="11"/>
      <c r="BO64" s="4"/>
      <c r="BP64" s="4"/>
    </row>
    <row r="65" spans="3:68" x14ac:dyDescent="0.25">
      <c r="C65" s="4"/>
      <c r="D65" s="41"/>
      <c r="E65" s="10"/>
      <c r="F65" s="11"/>
      <c r="G65" s="10"/>
      <c r="H65" s="11"/>
      <c r="I65" s="10"/>
      <c r="J65" s="11"/>
      <c r="K65" s="10"/>
      <c r="L65" s="11"/>
      <c r="M65" s="10"/>
      <c r="N65" s="11"/>
      <c r="O65" s="10"/>
      <c r="P65" s="11"/>
      <c r="Q65" s="10"/>
      <c r="R65" s="11"/>
      <c r="S65" s="10"/>
      <c r="T65" s="11"/>
      <c r="U65" s="10"/>
      <c r="V65" s="11"/>
      <c r="W65" s="10"/>
      <c r="X65" s="11"/>
      <c r="Y65" s="10"/>
      <c r="Z65" s="11"/>
      <c r="AA65" s="10"/>
      <c r="AB65" s="11"/>
      <c r="AC65" s="10"/>
      <c r="AD65" s="11"/>
      <c r="AE65" s="10"/>
      <c r="AF65" s="11"/>
      <c r="AG65" s="10"/>
      <c r="AH65" s="11"/>
      <c r="AI65" s="10"/>
      <c r="AJ65" s="11"/>
      <c r="AK65" s="10"/>
      <c r="AL65" s="11"/>
      <c r="AM65" s="10"/>
      <c r="AN65" s="11"/>
      <c r="AO65" s="10"/>
      <c r="AP65" s="11"/>
      <c r="AQ65" s="10"/>
      <c r="AR65" s="11"/>
      <c r="AS65" s="10"/>
      <c r="AT65" s="11"/>
      <c r="AU65" s="10"/>
      <c r="AV65" s="11"/>
      <c r="AW65" s="10"/>
      <c r="AX65" s="11"/>
      <c r="AY65" s="10"/>
      <c r="AZ65" s="11"/>
      <c r="BA65" s="10"/>
      <c r="BB65" s="11"/>
      <c r="BC65" s="10"/>
      <c r="BD65" s="11"/>
      <c r="BE65" s="10"/>
      <c r="BF65" s="11"/>
      <c r="BG65" s="10"/>
      <c r="BH65" s="11"/>
      <c r="BI65" s="10"/>
      <c r="BJ65" s="11"/>
      <c r="BK65" s="10"/>
      <c r="BL65" s="11"/>
      <c r="BM65" s="10"/>
      <c r="BN65" s="11"/>
      <c r="BO65" s="4"/>
      <c r="BP65" s="4"/>
    </row>
    <row r="66" spans="3:68" x14ac:dyDescent="0.25">
      <c r="C66" s="4"/>
      <c r="D66" s="41"/>
      <c r="E66" s="10"/>
      <c r="F66" s="11"/>
      <c r="G66" s="10"/>
      <c r="H66" s="11"/>
      <c r="I66" s="10"/>
      <c r="J66" s="11"/>
      <c r="K66" s="10"/>
      <c r="L66" s="11"/>
      <c r="M66" s="10"/>
      <c r="N66" s="11"/>
      <c r="O66" s="10"/>
      <c r="P66" s="11"/>
      <c r="Q66" s="10"/>
      <c r="R66" s="11"/>
      <c r="S66" s="10"/>
      <c r="T66" s="11"/>
      <c r="U66" s="10"/>
      <c r="V66" s="11"/>
      <c r="W66" s="10"/>
      <c r="X66" s="11"/>
      <c r="Y66" s="10"/>
      <c r="Z66" s="11"/>
      <c r="AA66" s="10"/>
      <c r="AB66" s="11"/>
      <c r="AC66" s="10"/>
      <c r="AD66" s="11"/>
      <c r="AE66" s="10"/>
      <c r="AF66" s="11"/>
      <c r="AG66" s="10"/>
      <c r="AH66" s="11"/>
      <c r="AI66" s="10"/>
      <c r="AJ66" s="11"/>
      <c r="AK66" s="10"/>
      <c r="AL66" s="11"/>
      <c r="AM66" s="10"/>
      <c r="AN66" s="11"/>
      <c r="AO66" s="10"/>
      <c r="AP66" s="11"/>
      <c r="AQ66" s="10"/>
      <c r="AR66" s="11"/>
      <c r="AS66" s="10"/>
      <c r="AT66" s="11"/>
      <c r="AU66" s="10"/>
      <c r="AV66" s="11"/>
      <c r="AW66" s="10"/>
      <c r="AX66" s="11"/>
      <c r="AY66" s="10"/>
      <c r="AZ66" s="11"/>
      <c r="BA66" s="10"/>
      <c r="BB66" s="11"/>
      <c r="BC66" s="10"/>
      <c r="BD66" s="11"/>
      <c r="BE66" s="10"/>
      <c r="BF66" s="11"/>
      <c r="BG66" s="10"/>
      <c r="BH66" s="11"/>
      <c r="BI66" s="10"/>
      <c r="BJ66" s="11"/>
      <c r="BK66" s="10"/>
      <c r="BL66" s="11"/>
      <c r="BM66" s="10"/>
      <c r="BN66" s="11"/>
      <c r="BO66" s="4"/>
      <c r="BP66" s="4"/>
    </row>
    <row r="67" spans="3:68" x14ac:dyDescent="0.25">
      <c r="C67" s="4"/>
      <c r="D67" s="41"/>
      <c r="E67" s="10"/>
      <c r="F67" s="11"/>
      <c r="G67" s="10"/>
      <c r="H67" s="11"/>
      <c r="I67" s="10"/>
      <c r="J67" s="11"/>
      <c r="K67" s="10"/>
      <c r="L67" s="11"/>
      <c r="M67" s="10"/>
      <c r="N67" s="11"/>
      <c r="O67" s="10"/>
      <c r="P67" s="11"/>
      <c r="Q67" s="10"/>
      <c r="R67" s="11"/>
      <c r="S67" s="10"/>
      <c r="T67" s="11"/>
      <c r="U67" s="10"/>
      <c r="V67" s="11"/>
      <c r="W67" s="10"/>
      <c r="X67" s="11"/>
      <c r="Y67" s="10"/>
      <c r="Z67" s="11"/>
      <c r="AA67" s="10"/>
      <c r="AB67" s="11"/>
      <c r="AC67" s="10"/>
      <c r="AD67" s="11"/>
      <c r="AE67" s="10"/>
      <c r="AF67" s="11"/>
      <c r="AG67" s="10"/>
      <c r="AH67" s="11"/>
      <c r="AI67" s="10"/>
      <c r="AJ67" s="11"/>
      <c r="AK67" s="10"/>
      <c r="AL67" s="11"/>
      <c r="AM67" s="10"/>
      <c r="AN67" s="11"/>
      <c r="AO67" s="10"/>
      <c r="AP67" s="11"/>
      <c r="AQ67" s="10"/>
      <c r="AR67" s="11"/>
      <c r="AS67" s="10"/>
      <c r="AT67" s="11"/>
      <c r="AU67" s="10"/>
      <c r="AV67" s="11"/>
      <c r="AW67" s="10"/>
      <c r="AX67" s="11"/>
      <c r="AY67" s="10"/>
      <c r="AZ67" s="11"/>
      <c r="BA67" s="10"/>
      <c r="BB67" s="11"/>
      <c r="BC67" s="10"/>
      <c r="BD67" s="11"/>
      <c r="BE67" s="10"/>
      <c r="BF67" s="11"/>
      <c r="BG67" s="10"/>
      <c r="BH67" s="11"/>
      <c r="BI67" s="10"/>
      <c r="BJ67" s="11"/>
      <c r="BK67" s="10"/>
      <c r="BL67" s="11"/>
      <c r="BM67" s="10"/>
      <c r="BN67" s="11"/>
      <c r="BO67" s="4"/>
      <c r="BP67" s="4"/>
    </row>
    <row r="68" spans="3:68" x14ac:dyDescent="0.25">
      <c r="C68" s="4"/>
      <c r="D68" s="41"/>
      <c r="E68" s="10"/>
      <c r="F68" s="11"/>
      <c r="G68" s="10"/>
      <c r="H68" s="11"/>
      <c r="I68" s="10"/>
      <c r="J68" s="11"/>
      <c r="K68" s="10"/>
      <c r="L68" s="11"/>
      <c r="M68" s="10"/>
      <c r="N68" s="11"/>
      <c r="O68" s="10"/>
      <c r="P68" s="11"/>
      <c r="Q68" s="10"/>
      <c r="R68" s="11"/>
      <c r="S68" s="10"/>
      <c r="T68" s="11"/>
      <c r="U68" s="10"/>
      <c r="V68" s="11"/>
      <c r="W68" s="10"/>
      <c r="X68" s="11"/>
      <c r="Y68" s="10"/>
      <c r="Z68" s="11"/>
      <c r="AA68" s="10"/>
      <c r="AB68" s="11"/>
      <c r="AC68" s="10"/>
      <c r="AD68" s="11"/>
      <c r="AE68" s="10"/>
      <c r="AF68" s="11"/>
      <c r="AG68" s="10"/>
      <c r="AH68" s="11"/>
      <c r="AI68" s="10"/>
      <c r="AJ68" s="11"/>
      <c r="AK68" s="10"/>
      <c r="AL68" s="11"/>
      <c r="AM68" s="10"/>
      <c r="AN68" s="11"/>
      <c r="AO68" s="10"/>
      <c r="AP68" s="11"/>
      <c r="AQ68" s="10"/>
      <c r="AR68" s="11"/>
      <c r="AS68" s="10"/>
      <c r="AT68" s="11"/>
      <c r="AU68" s="10"/>
      <c r="AV68" s="11"/>
      <c r="AW68" s="10"/>
      <c r="AX68" s="11"/>
      <c r="AY68" s="10"/>
      <c r="AZ68" s="11"/>
      <c r="BA68" s="10"/>
      <c r="BB68" s="11"/>
      <c r="BC68" s="10"/>
      <c r="BD68" s="11"/>
      <c r="BE68" s="10"/>
      <c r="BF68" s="11"/>
      <c r="BG68" s="10"/>
      <c r="BH68" s="11"/>
      <c r="BI68" s="10"/>
      <c r="BJ68" s="11"/>
      <c r="BK68" s="10"/>
      <c r="BL68" s="11"/>
      <c r="BM68" s="10"/>
      <c r="BN68" s="11"/>
      <c r="BO68" s="4"/>
      <c r="BP68" s="4"/>
    </row>
    <row r="69" spans="3:68" x14ac:dyDescent="0.25">
      <c r="C69" s="4"/>
      <c r="D69" s="41"/>
      <c r="E69" s="10"/>
      <c r="F69" s="11"/>
      <c r="G69" s="10"/>
      <c r="H69" s="11"/>
      <c r="I69" s="10"/>
      <c r="J69" s="11"/>
      <c r="K69" s="10"/>
      <c r="L69" s="11"/>
      <c r="M69" s="10"/>
      <c r="N69" s="11"/>
      <c r="O69" s="10"/>
      <c r="P69" s="11"/>
      <c r="Q69" s="10"/>
      <c r="R69" s="11"/>
      <c r="S69" s="10"/>
      <c r="T69" s="11"/>
      <c r="U69" s="10"/>
      <c r="V69" s="11"/>
      <c r="W69" s="10"/>
      <c r="X69" s="11"/>
      <c r="Y69" s="10"/>
      <c r="Z69" s="11"/>
      <c r="AA69" s="10"/>
      <c r="AB69" s="11"/>
      <c r="AC69" s="10"/>
      <c r="AD69" s="11"/>
      <c r="AE69" s="10"/>
      <c r="AF69" s="11"/>
      <c r="AG69" s="10"/>
      <c r="AH69" s="11"/>
      <c r="AI69" s="10"/>
      <c r="AJ69" s="11"/>
      <c r="AK69" s="10"/>
      <c r="AL69" s="11"/>
      <c r="AM69" s="10"/>
      <c r="AN69" s="11"/>
      <c r="AO69" s="10"/>
      <c r="AP69" s="11"/>
      <c r="AQ69" s="10"/>
      <c r="AR69" s="11"/>
      <c r="AS69" s="10"/>
      <c r="AT69" s="11"/>
      <c r="AU69" s="10"/>
      <c r="AV69" s="11"/>
      <c r="AW69" s="10"/>
      <c r="AX69" s="11"/>
      <c r="AY69" s="10"/>
      <c r="AZ69" s="11"/>
      <c r="BA69" s="10"/>
      <c r="BB69" s="11"/>
      <c r="BC69" s="10"/>
      <c r="BD69" s="11"/>
      <c r="BE69" s="10"/>
      <c r="BF69" s="11"/>
      <c r="BG69" s="10"/>
      <c r="BH69" s="11"/>
      <c r="BI69" s="10"/>
      <c r="BJ69" s="11"/>
      <c r="BK69" s="10"/>
      <c r="BL69" s="11"/>
      <c r="BM69" s="10"/>
      <c r="BN69" s="11"/>
      <c r="BO69" s="4"/>
      <c r="BP69" s="4"/>
    </row>
    <row r="70" spans="3:68" x14ac:dyDescent="0.25">
      <c r="C70" s="4"/>
      <c r="D70" s="42"/>
      <c r="E70" s="12"/>
      <c r="F70" s="13"/>
      <c r="G70" s="12"/>
      <c r="H70" s="13"/>
      <c r="I70" s="12"/>
      <c r="J70" s="13"/>
      <c r="K70" s="12"/>
      <c r="L70" s="13"/>
      <c r="M70" s="12"/>
      <c r="N70" s="13"/>
      <c r="O70" s="12"/>
      <c r="P70" s="13"/>
      <c r="Q70" s="12"/>
      <c r="R70" s="13"/>
      <c r="S70" s="12"/>
      <c r="T70" s="13"/>
      <c r="U70" s="12"/>
      <c r="V70" s="13"/>
      <c r="W70" s="12"/>
      <c r="X70" s="13"/>
      <c r="Y70" s="12"/>
      <c r="Z70" s="13"/>
      <c r="AA70" s="12"/>
      <c r="AB70" s="13"/>
      <c r="AC70" s="12"/>
      <c r="AD70" s="13"/>
      <c r="AE70" s="12"/>
      <c r="AF70" s="13"/>
      <c r="AG70" s="12"/>
      <c r="AH70" s="13"/>
      <c r="AI70" s="12"/>
      <c r="AJ70" s="13"/>
      <c r="AK70" s="12"/>
      <c r="AL70" s="13"/>
      <c r="AM70" s="12"/>
      <c r="AN70" s="13"/>
      <c r="AO70" s="12"/>
      <c r="AP70" s="13"/>
      <c r="AQ70" s="12"/>
      <c r="AR70" s="13"/>
      <c r="AS70" s="12"/>
      <c r="AT70" s="13"/>
      <c r="AU70" s="12"/>
      <c r="AV70" s="13"/>
      <c r="AW70" s="12"/>
      <c r="AX70" s="13"/>
      <c r="AY70" s="12"/>
      <c r="AZ70" s="13"/>
      <c r="BA70" s="12"/>
      <c r="BB70" s="13"/>
      <c r="BC70" s="12"/>
      <c r="BD70" s="13"/>
      <c r="BE70" s="12"/>
      <c r="BF70" s="13"/>
      <c r="BG70" s="12"/>
      <c r="BH70" s="13"/>
      <c r="BI70" s="12"/>
      <c r="BJ70" s="13"/>
      <c r="BK70" s="12"/>
      <c r="BL70" s="13"/>
      <c r="BM70" s="12"/>
      <c r="BN70" s="13"/>
      <c r="BO70" s="4"/>
      <c r="BP70" s="4"/>
    </row>
    <row r="71" spans="3:68" x14ac:dyDescent="0.25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</row>
    <row r="72" spans="3:68" x14ac:dyDescent="0.25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</row>
    <row r="73" spans="3:68" x14ac:dyDescent="0.25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</row>
    <row r="74" spans="3:68" x14ac:dyDescent="0.25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</row>
    <row r="75" spans="3:68" x14ac:dyDescent="0.25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</row>
    <row r="76" spans="3:68" x14ac:dyDescent="0.25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</row>
    <row r="77" spans="3:68" x14ac:dyDescent="0.25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</row>
    <row r="78" spans="3:68" x14ac:dyDescent="0.25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</row>
    <row r="79" spans="3:68" x14ac:dyDescent="0.25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</row>
    <row r="80" spans="3:68" x14ac:dyDescent="0.25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</row>
    <row r="81" spans="3:68" x14ac:dyDescent="0.25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</row>
    <row r="104" spans="64:64" x14ac:dyDescent="0.25">
      <c r="BL104" t="s">
        <v>9</v>
      </c>
    </row>
    <row r="136" spans="64:64" x14ac:dyDescent="0.25">
      <c r="BL136" t="s">
        <v>9</v>
      </c>
    </row>
    <row r="168" spans="64:64" x14ac:dyDescent="0.25">
      <c r="BL168" t="s">
        <v>9</v>
      </c>
    </row>
    <row r="200" spans="64:64" x14ac:dyDescent="0.25">
      <c r="BL200" t="s">
        <v>9</v>
      </c>
    </row>
    <row r="232" spans="64:64" x14ac:dyDescent="0.25">
      <c r="BL232" t="s">
        <v>9</v>
      </c>
    </row>
    <row r="264" spans="64:64" x14ac:dyDescent="0.25">
      <c r="BL264" t="s">
        <v>9</v>
      </c>
    </row>
  </sheetData>
  <mergeCells count="51">
    <mergeCell ref="BS8:BT8"/>
    <mergeCell ref="BD2:BH2"/>
    <mergeCell ref="AT2:AW2"/>
    <mergeCell ref="E2:I2"/>
    <mergeCell ref="E4:I4"/>
    <mergeCell ref="J2:X2"/>
    <mergeCell ref="Y2:AD2"/>
    <mergeCell ref="AE2:AI2"/>
    <mergeCell ref="AJ2:AS2"/>
    <mergeCell ref="AH4:BN4"/>
    <mergeCell ref="BI2:BN2"/>
    <mergeCell ref="AX2:BC2"/>
    <mergeCell ref="AI6:AR6"/>
    <mergeCell ref="AA6:AH6"/>
    <mergeCell ref="N4:Q4"/>
    <mergeCell ref="Y4:AG4"/>
    <mergeCell ref="BE8:BF8"/>
    <mergeCell ref="BG8:BH8"/>
    <mergeCell ref="BI8:BJ8"/>
    <mergeCell ref="BK8:BL8"/>
    <mergeCell ref="BM8:BN8"/>
    <mergeCell ref="D1:BO1"/>
    <mergeCell ref="M6:Z6"/>
    <mergeCell ref="J4:M4"/>
    <mergeCell ref="R4:X4"/>
    <mergeCell ref="AS8:AT8"/>
    <mergeCell ref="AU8:AV8"/>
    <mergeCell ref="AW8:AX8"/>
    <mergeCell ref="AY8:AZ8"/>
    <mergeCell ref="BA8:BB8"/>
    <mergeCell ref="BC8:BD8"/>
    <mergeCell ref="AG8:AH8"/>
    <mergeCell ref="AI8:AJ8"/>
    <mergeCell ref="AK8:AL8"/>
    <mergeCell ref="AM8:AN8"/>
    <mergeCell ref="AO8:AP8"/>
    <mergeCell ref="AQ8:AR8"/>
    <mergeCell ref="AE8:AF8"/>
    <mergeCell ref="E8:F8"/>
    <mergeCell ref="G8:H8"/>
    <mergeCell ref="I8:J8"/>
    <mergeCell ref="K8:L8"/>
    <mergeCell ref="M8:N8"/>
    <mergeCell ref="O8:P8"/>
    <mergeCell ref="Q8:R8"/>
    <mergeCell ref="S8:T8"/>
    <mergeCell ref="U8:V8"/>
    <mergeCell ref="W8:X8"/>
    <mergeCell ref="Y8:Z8"/>
    <mergeCell ref="AA8:AB8"/>
    <mergeCell ref="AC8:AD8"/>
  </mergeCells>
  <conditionalFormatting sqref="D9:BN70">
    <cfRule type="expression" dxfId="4" priority="5">
      <formula>AND($D9&lt;&gt;"",MOD(ROW(),2)=0)</formula>
    </cfRule>
    <cfRule type="expression" dxfId="3" priority="2">
      <formula>$D9=""</formula>
    </cfRule>
  </conditionalFormatting>
  <conditionalFormatting sqref="BO2">
    <cfRule type="expression" dxfId="2" priority="4">
      <formula>$B$15=FALSE</formula>
    </cfRule>
  </conditionalFormatting>
  <conditionalFormatting sqref="AX2 BI2">
    <cfRule type="expression" dxfId="1" priority="3">
      <formula>$B$15=TRUE</formula>
    </cfRule>
  </conditionalFormatting>
  <conditionalFormatting sqref="D9:BN81">
    <cfRule type="expression" dxfId="0" priority="1">
      <formula>AND($D9&lt;&gt;"",$D10="")</formula>
    </cfRule>
  </conditionalFormatting>
  <dataValidations count="3">
    <dataValidation type="list" allowBlank="1" showInputMessage="1" showErrorMessage="1" sqref="AI6" xr:uid="{00000000-0002-0000-0000-000000000000}">
      <formula1>RoomTypesWithAll</formula1>
    </dataValidation>
    <dataValidation type="list" allowBlank="1" showInputMessage="1" showErrorMessage="1" sqref="R4" xr:uid="{00000000-0002-0000-0000-000001000000}">
      <formula1>Status</formula1>
    </dataValidation>
    <dataValidation type="list" allowBlank="1" showInputMessage="1" showErrorMessage="1" sqref="AE2" xr:uid="{00000000-0002-0000-0000-000002000000}">
      <formula1>RoomNumbers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39"/>
  <sheetViews>
    <sheetView showZeros="0" workbookViewId="0">
      <selection activeCell="T3" sqref="T3:AA18"/>
    </sheetView>
  </sheetViews>
  <sheetFormatPr defaultRowHeight="15" x14ac:dyDescent="0.25"/>
  <cols>
    <col min="1" max="1" width="10.42578125" bestFit="1" customWidth="1"/>
    <col min="2" max="2" width="14.85546875" bestFit="1" customWidth="1"/>
    <col min="3" max="3" width="14.28515625" customWidth="1"/>
    <col min="4" max="4" width="9.7109375" customWidth="1"/>
    <col min="5" max="5" width="16.28515625" bestFit="1" customWidth="1"/>
    <col min="6" max="6" width="12.28515625" bestFit="1" customWidth="1"/>
    <col min="7" max="7" width="10.7109375" bestFit="1" customWidth="1"/>
    <col min="8" max="8" width="12.140625" customWidth="1"/>
    <col min="9" max="9" width="10.7109375" customWidth="1"/>
    <col min="10" max="10" width="18" customWidth="1"/>
    <col min="14" max="14" width="10.85546875" bestFit="1" customWidth="1"/>
    <col min="21" max="21" width="14.85546875" bestFit="1" customWidth="1"/>
    <col min="23" max="23" width="9.5703125" bestFit="1" customWidth="1"/>
    <col min="26" max="26" width="9.7109375" bestFit="1" customWidth="1"/>
    <col min="27" max="27" width="10" bestFit="1" customWidth="1"/>
  </cols>
  <sheetData>
    <row r="1" spans="1:27" x14ac:dyDescent="0.25">
      <c r="A1" s="32"/>
      <c r="B1" s="32"/>
      <c r="C1" s="32" t="s">
        <v>60</v>
      </c>
      <c r="D1" s="32" t="s">
        <v>61</v>
      </c>
      <c r="E1" s="32" t="s">
        <v>62</v>
      </c>
      <c r="F1" s="32" t="s">
        <v>64</v>
      </c>
      <c r="G1" s="32" t="s">
        <v>63</v>
      </c>
      <c r="H1" s="32" t="s">
        <v>67</v>
      </c>
      <c r="I1" s="32" t="s">
        <v>65</v>
      </c>
      <c r="J1" s="32" t="s">
        <v>66</v>
      </c>
      <c r="K1" s="36"/>
      <c r="N1" s="122" t="s">
        <v>57</v>
      </c>
      <c r="O1" s="122"/>
      <c r="P1" s="122"/>
      <c r="Q1" s="122"/>
      <c r="R1" s="122"/>
      <c r="T1" s="122" t="s">
        <v>58</v>
      </c>
      <c r="U1" s="122"/>
      <c r="V1" s="122"/>
      <c r="W1" s="122"/>
      <c r="X1" s="122"/>
      <c r="Y1" s="122"/>
      <c r="Z1" s="122"/>
      <c r="AA1" s="122"/>
    </row>
    <row r="2" spans="1:27" x14ac:dyDescent="0.25">
      <c r="A2" s="123" t="s">
        <v>56</v>
      </c>
      <c r="B2" s="123"/>
      <c r="C2" s="123"/>
      <c r="D2" s="123"/>
      <c r="E2" s="123"/>
      <c r="F2" s="123"/>
      <c r="G2" s="123"/>
      <c r="H2" s="123"/>
      <c r="I2" s="123"/>
      <c r="J2" s="123"/>
      <c r="K2" s="37"/>
      <c r="N2" s="24" t="s">
        <v>3</v>
      </c>
      <c r="O2" s="24" t="s">
        <v>4</v>
      </c>
      <c r="P2" s="24" t="s">
        <v>4</v>
      </c>
      <c r="Q2" s="24" t="s">
        <v>5</v>
      </c>
      <c r="R2" s="24" t="s">
        <v>5</v>
      </c>
      <c r="T2" s="24" t="s">
        <v>1</v>
      </c>
      <c r="U2" s="24" t="s">
        <v>7</v>
      </c>
      <c r="V2" s="24" t="s">
        <v>11</v>
      </c>
      <c r="W2" s="24" t="s">
        <v>2</v>
      </c>
      <c r="X2" s="24" t="s">
        <v>3</v>
      </c>
      <c r="Y2" s="24" t="s">
        <v>16</v>
      </c>
      <c r="Z2" s="24" t="s">
        <v>4</v>
      </c>
      <c r="AA2" s="24" t="s">
        <v>5</v>
      </c>
    </row>
    <row r="3" spans="1:27" x14ac:dyDescent="0.25">
      <c r="A3" s="55" t="s">
        <v>1</v>
      </c>
      <c r="B3" s="56" t="s">
        <v>7</v>
      </c>
      <c r="C3" s="56" t="s">
        <v>11</v>
      </c>
      <c r="D3" s="56" t="s">
        <v>2</v>
      </c>
      <c r="E3" s="56" t="s">
        <v>3</v>
      </c>
      <c r="F3" s="56" t="s">
        <v>16</v>
      </c>
      <c r="G3" s="56" t="s">
        <v>4</v>
      </c>
      <c r="H3" s="56" t="s">
        <v>5</v>
      </c>
      <c r="I3" s="56" t="s">
        <v>13</v>
      </c>
      <c r="J3" s="57" t="s">
        <v>6</v>
      </c>
      <c r="K3" s="38"/>
      <c r="N3" t="str">
        <f>IF(OR(Schedule!$AI$6="[All Rooms]",Schedule!$AI$6=""),"",Schedule!$AI$6)</f>
        <v/>
      </c>
      <c r="O3" t="str">
        <f>"&gt;="&amp;StartDate</f>
        <v>&gt;=44044</v>
      </c>
      <c r="P3" t="str">
        <f>"&lt;="&amp;EOMONTH(StartDate,0)</f>
        <v>&lt;=44074</v>
      </c>
      <c r="T3" s="63">
        <v>2</v>
      </c>
      <c r="U3" s="64">
        <v>44045.637503587961</v>
      </c>
      <c r="V3" s="65" t="s">
        <v>89</v>
      </c>
      <c r="W3" s="65" t="s">
        <v>10</v>
      </c>
      <c r="X3" s="65" t="s">
        <v>24</v>
      </c>
      <c r="Y3" s="65" t="s">
        <v>52</v>
      </c>
      <c r="Z3" s="66">
        <v>44053</v>
      </c>
      <c r="AA3" s="66">
        <v>44062</v>
      </c>
    </row>
    <row r="4" spans="1:27" x14ac:dyDescent="0.25">
      <c r="A4" s="58">
        <v>1</v>
      </c>
      <c r="B4" s="59">
        <v>44045.637503587961</v>
      </c>
      <c r="C4" s="60"/>
      <c r="D4" s="60"/>
      <c r="E4" s="60"/>
      <c r="F4" s="60"/>
      <c r="G4" s="61"/>
      <c r="H4" s="81"/>
      <c r="I4" s="60"/>
      <c r="J4" s="62"/>
      <c r="K4" s="39"/>
      <c r="N4" t="str">
        <f>IF(Schedule!$AI$6="[All Rooms]","",Schedule!$AI$6)</f>
        <v/>
      </c>
      <c r="Q4" t="str">
        <f>"&gt;="&amp;StartDate</f>
        <v>&gt;=44044</v>
      </c>
      <c r="R4" t="str">
        <f>"&lt;="&amp;EOMONTH(StartDate,0)</f>
        <v>&lt;=44074</v>
      </c>
      <c r="T4" s="58">
        <v>15</v>
      </c>
      <c r="U4" s="59">
        <v>44048.504583333335</v>
      </c>
      <c r="V4" s="60" t="s">
        <v>102</v>
      </c>
      <c r="W4" s="60" t="s">
        <v>10</v>
      </c>
      <c r="X4" s="60" t="s">
        <v>24</v>
      </c>
      <c r="Y4" s="60" t="s">
        <v>52</v>
      </c>
      <c r="Z4" s="61">
        <v>44068</v>
      </c>
      <c r="AA4" s="61">
        <v>44079</v>
      </c>
    </row>
    <row r="5" spans="1:27" x14ac:dyDescent="0.25">
      <c r="A5" s="63">
        <v>2</v>
      </c>
      <c r="B5" s="64">
        <v>44045.637503587961</v>
      </c>
      <c r="C5" s="65" t="s">
        <v>89</v>
      </c>
      <c r="D5" s="65" t="s">
        <v>10</v>
      </c>
      <c r="E5" s="65" t="s">
        <v>24</v>
      </c>
      <c r="F5" s="65" t="s">
        <v>52</v>
      </c>
      <c r="G5" s="66">
        <v>44053</v>
      </c>
      <c r="H5" s="66">
        <v>44062</v>
      </c>
      <c r="I5" s="65">
        <v>25</v>
      </c>
      <c r="J5" s="67" t="s">
        <v>90</v>
      </c>
      <c r="K5" s="39"/>
      <c r="N5" t="str">
        <f>IF(OR(Schedule!$AI$6="[All Rooms]",Schedule!$AI$6=""),"",Schedule!$AI$6)</f>
        <v/>
      </c>
      <c r="O5" t="str">
        <f>"&lt;="&amp;StartDate</f>
        <v>&lt;=44044</v>
      </c>
      <c r="R5" t="str">
        <f>"&gt;="&amp;EOMONTH(StartDate,0)</f>
        <v>&gt;=44074</v>
      </c>
      <c r="T5" s="58">
        <v>3</v>
      </c>
      <c r="U5" s="59">
        <v>44045.637503587961</v>
      </c>
      <c r="V5" s="60" t="s">
        <v>68</v>
      </c>
      <c r="W5" s="60" t="s">
        <v>31</v>
      </c>
      <c r="X5" s="60" t="s">
        <v>27</v>
      </c>
      <c r="Y5" s="60" t="s">
        <v>22</v>
      </c>
      <c r="Z5" s="61">
        <v>44053</v>
      </c>
      <c r="AA5" s="81">
        <v>44066</v>
      </c>
    </row>
    <row r="6" spans="1:27" x14ac:dyDescent="0.25">
      <c r="A6" s="58">
        <v>3</v>
      </c>
      <c r="B6" s="59">
        <v>44045.637503587961</v>
      </c>
      <c r="C6" s="60" t="s">
        <v>68</v>
      </c>
      <c r="D6" s="60" t="s">
        <v>31</v>
      </c>
      <c r="E6" s="60" t="s">
        <v>27</v>
      </c>
      <c r="F6" s="60" t="s">
        <v>22</v>
      </c>
      <c r="G6" s="61">
        <v>44053</v>
      </c>
      <c r="H6" s="81">
        <v>44066</v>
      </c>
      <c r="I6" s="60">
        <v>1</v>
      </c>
      <c r="J6" s="62" t="s">
        <v>81</v>
      </c>
      <c r="K6" s="39"/>
      <c r="T6" s="58">
        <v>5</v>
      </c>
      <c r="U6" s="59">
        <v>44045.414270833331</v>
      </c>
      <c r="V6" s="60" t="s">
        <v>91</v>
      </c>
      <c r="W6" s="60" t="s">
        <v>31</v>
      </c>
      <c r="X6" s="75" t="s">
        <v>27</v>
      </c>
      <c r="Y6" s="60" t="s">
        <v>22</v>
      </c>
      <c r="Z6" s="61">
        <v>44044</v>
      </c>
      <c r="AA6" s="61">
        <v>44052</v>
      </c>
    </row>
    <row r="7" spans="1:27" x14ac:dyDescent="0.25">
      <c r="A7" s="63">
        <v>4</v>
      </c>
      <c r="B7" s="64">
        <v>44045.637503587961</v>
      </c>
      <c r="C7" s="65" t="s">
        <v>54</v>
      </c>
      <c r="D7" s="65" t="s">
        <v>35</v>
      </c>
      <c r="E7" s="65" t="s">
        <v>27</v>
      </c>
      <c r="F7" s="65" t="s">
        <v>23</v>
      </c>
      <c r="G7" s="66">
        <v>44042</v>
      </c>
      <c r="H7" s="66">
        <v>44054</v>
      </c>
      <c r="I7" s="65">
        <v>2</v>
      </c>
      <c r="J7" s="67"/>
      <c r="K7" s="22"/>
      <c r="T7" s="58">
        <v>9</v>
      </c>
      <c r="U7" s="59">
        <v>44046.414270775465</v>
      </c>
      <c r="V7" s="60" t="s">
        <v>96</v>
      </c>
      <c r="W7" s="60" t="s">
        <v>32</v>
      </c>
      <c r="X7" s="60" t="s">
        <v>28</v>
      </c>
      <c r="Y7" s="60" t="s">
        <v>23</v>
      </c>
      <c r="Z7" s="61">
        <v>44058</v>
      </c>
      <c r="AA7" s="61">
        <v>44069</v>
      </c>
    </row>
    <row r="8" spans="1:27" x14ac:dyDescent="0.25">
      <c r="A8" s="58">
        <v>5</v>
      </c>
      <c r="B8" s="59">
        <v>44045.414270833331</v>
      </c>
      <c r="C8" s="60" t="s">
        <v>91</v>
      </c>
      <c r="D8" s="60" t="s">
        <v>31</v>
      </c>
      <c r="E8" s="75" t="s">
        <v>27</v>
      </c>
      <c r="F8" s="60" t="s">
        <v>22</v>
      </c>
      <c r="G8" s="61">
        <v>44044</v>
      </c>
      <c r="H8" s="61">
        <v>44052</v>
      </c>
      <c r="I8" s="60">
        <v>2</v>
      </c>
      <c r="J8" s="62" t="s">
        <v>92</v>
      </c>
      <c r="K8" s="22"/>
      <c r="T8" s="58">
        <v>7</v>
      </c>
      <c r="U8" s="59">
        <v>44045.637503587961</v>
      </c>
      <c r="V8" s="60" t="s">
        <v>94</v>
      </c>
      <c r="W8" s="60" t="s">
        <v>34</v>
      </c>
      <c r="X8" s="60" t="s">
        <v>24</v>
      </c>
      <c r="Y8" s="60" t="s">
        <v>52</v>
      </c>
      <c r="Z8" s="61">
        <v>44048</v>
      </c>
      <c r="AA8" s="61">
        <v>44059</v>
      </c>
    </row>
    <row r="9" spans="1:27" x14ac:dyDescent="0.25">
      <c r="A9" s="63">
        <v>6</v>
      </c>
      <c r="B9" s="64">
        <v>44045.637503587961</v>
      </c>
      <c r="C9" s="65" t="s">
        <v>93</v>
      </c>
      <c r="D9" s="65" t="s">
        <v>39</v>
      </c>
      <c r="E9" s="65" t="s">
        <v>28</v>
      </c>
      <c r="F9" s="65" t="s">
        <v>22</v>
      </c>
      <c r="G9" s="66">
        <v>44044</v>
      </c>
      <c r="H9" s="66">
        <v>44049</v>
      </c>
      <c r="I9" s="65">
        <v>1</v>
      </c>
      <c r="J9" s="67"/>
      <c r="K9" s="22"/>
      <c r="T9" s="58">
        <v>13</v>
      </c>
      <c r="U9" s="59">
        <v>44047.414270775465</v>
      </c>
      <c r="V9" s="60" t="s">
        <v>100</v>
      </c>
      <c r="W9" s="60" t="s">
        <v>34</v>
      </c>
      <c r="X9" s="60" t="s">
        <v>24</v>
      </c>
      <c r="Y9" s="60" t="s">
        <v>53</v>
      </c>
      <c r="Z9" s="61">
        <v>44066</v>
      </c>
      <c r="AA9" s="61">
        <v>44080</v>
      </c>
    </row>
    <row r="10" spans="1:27" x14ac:dyDescent="0.25">
      <c r="A10" s="58">
        <v>7</v>
      </c>
      <c r="B10" s="59">
        <v>44045.637503587961</v>
      </c>
      <c r="C10" s="60" t="s">
        <v>94</v>
      </c>
      <c r="D10" s="60" t="s">
        <v>34</v>
      </c>
      <c r="E10" s="60" t="s">
        <v>24</v>
      </c>
      <c r="F10" s="60" t="s">
        <v>52</v>
      </c>
      <c r="G10" s="61">
        <v>44048</v>
      </c>
      <c r="H10" s="61">
        <v>44059</v>
      </c>
      <c r="I10" s="60">
        <v>2</v>
      </c>
      <c r="J10" s="62"/>
      <c r="K10" s="22"/>
      <c r="T10" s="63">
        <v>4</v>
      </c>
      <c r="U10" s="64">
        <v>44045.637503587961</v>
      </c>
      <c r="V10" s="65" t="s">
        <v>54</v>
      </c>
      <c r="W10" s="65" t="s">
        <v>35</v>
      </c>
      <c r="X10" s="65" t="s">
        <v>27</v>
      </c>
      <c r="Y10" s="65" t="s">
        <v>23</v>
      </c>
      <c r="Z10" s="66">
        <v>44042</v>
      </c>
      <c r="AA10" s="66">
        <v>44054</v>
      </c>
    </row>
    <row r="11" spans="1:27" x14ac:dyDescent="0.25">
      <c r="A11" s="63">
        <v>8</v>
      </c>
      <c r="B11" s="64">
        <v>44045.637503587961</v>
      </c>
      <c r="C11" s="65" t="s">
        <v>95</v>
      </c>
      <c r="D11" s="65" t="s">
        <v>41</v>
      </c>
      <c r="E11" s="65" t="s">
        <v>27</v>
      </c>
      <c r="F11" s="65" t="s">
        <v>53</v>
      </c>
      <c r="G11" s="66">
        <v>44072</v>
      </c>
      <c r="H11" s="66">
        <v>44081</v>
      </c>
      <c r="I11" s="65">
        <v>1</v>
      </c>
      <c r="J11" s="67"/>
      <c r="K11" s="22"/>
      <c r="T11" s="58">
        <v>11</v>
      </c>
      <c r="U11" s="59">
        <v>44045.637503587961</v>
      </c>
      <c r="V11" s="60" t="s">
        <v>98</v>
      </c>
      <c r="W11" s="60" t="s">
        <v>37</v>
      </c>
      <c r="X11" s="60" t="s">
        <v>24</v>
      </c>
      <c r="Y11" s="60" t="s">
        <v>22</v>
      </c>
      <c r="Z11" s="61">
        <v>44058</v>
      </c>
      <c r="AA11" s="61">
        <v>44078</v>
      </c>
    </row>
    <row r="12" spans="1:27" x14ac:dyDescent="0.25">
      <c r="A12" s="58">
        <v>9</v>
      </c>
      <c r="B12" s="59">
        <v>44046.414270775465</v>
      </c>
      <c r="C12" s="60" t="s">
        <v>96</v>
      </c>
      <c r="D12" s="60" t="s">
        <v>32</v>
      </c>
      <c r="E12" s="60" t="s">
        <v>28</v>
      </c>
      <c r="F12" s="60" t="s">
        <v>23</v>
      </c>
      <c r="G12" s="61">
        <v>44058</v>
      </c>
      <c r="H12" s="61">
        <v>44069</v>
      </c>
      <c r="I12" s="60">
        <v>1</v>
      </c>
      <c r="J12" s="62"/>
      <c r="K12" s="22"/>
      <c r="T12" s="63">
        <v>12</v>
      </c>
      <c r="U12" s="64">
        <v>44045.637503587961</v>
      </c>
      <c r="V12" s="65" t="s">
        <v>99</v>
      </c>
      <c r="W12" s="65" t="s">
        <v>38</v>
      </c>
      <c r="X12" s="65" t="s">
        <v>27</v>
      </c>
      <c r="Y12" s="65" t="s">
        <v>52</v>
      </c>
      <c r="Z12" s="66">
        <v>44047</v>
      </c>
      <c r="AA12" s="66">
        <v>44057</v>
      </c>
    </row>
    <row r="13" spans="1:27" x14ac:dyDescent="0.25">
      <c r="A13" s="63">
        <v>10</v>
      </c>
      <c r="B13" s="64">
        <v>44045.637503587961</v>
      </c>
      <c r="C13" s="65" t="s">
        <v>97</v>
      </c>
      <c r="D13" s="65" t="s">
        <v>42</v>
      </c>
      <c r="E13" s="65" t="s">
        <v>28</v>
      </c>
      <c r="F13" s="65" t="s">
        <v>59</v>
      </c>
      <c r="G13" s="66">
        <v>44050</v>
      </c>
      <c r="H13" s="66">
        <v>44062</v>
      </c>
      <c r="I13" s="65">
        <v>2</v>
      </c>
      <c r="J13" s="67"/>
      <c r="K13" s="22"/>
      <c r="T13" s="63">
        <v>14</v>
      </c>
      <c r="U13" s="64">
        <v>44048.487060185187</v>
      </c>
      <c r="V13" s="65" t="s">
        <v>101</v>
      </c>
      <c r="W13" s="65" t="s">
        <v>38</v>
      </c>
      <c r="X13" s="65" t="s">
        <v>27</v>
      </c>
      <c r="Y13" s="65" t="s">
        <v>52</v>
      </c>
      <c r="Z13" s="66">
        <v>44067</v>
      </c>
      <c r="AA13" s="66">
        <v>44080</v>
      </c>
    </row>
    <row r="14" spans="1:27" x14ac:dyDescent="0.25">
      <c r="A14" s="58">
        <v>11</v>
      </c>
      <c r="B14" s="59">
        <v>44045.637503587961</v>
      </c>
      <c r="C14" s="60" t="s">
        <v>98</v>
      </c>
      <c r="D14" s="60" t="s">
        <v>37</v>
      </c>
      <c r="E14" s="60" t="s">
        <v>24</v>
      </c>
      <c r="F14" s="60" t="s">
        <v>22</v>
      </c>
      <c r="G14" s="61">
        <v>44058</v>
      </c>
      <c r="H14" s="61">
        <v>44078</v>
      </c>
      <c r="I14" s="60">
        <v>3</v>
      </c>
      <c r="J14" s="62"/>
      <c r="K14" s="22"/>
      <c r="T14" s="63">
        <v>6</v>
      </c>
      <c r="U14" s="64">
        <v>44045.637503587961</v>
      </c>
      <c r="V14" s="65" t="s">
        <v>93</v>
      </c>
      <c r="W14" s="65" t="s">
        <v>39</v>
      </c>
      <c r="X14" s="65" t="s">
        <v>28</v>
      </c>
      <c r="Y14" s="65" t="s">
        <v>22</v>
      </c>
      <c r="Z14" s="66">
        <v>44044</v>
      </c>
      <c r="AA14" s="66">
        <v>44049</v>
      </c>
    </row>
    <row r="15" spans="1:27" x14ac:dyDescent="0.25">
      <c r="A15" s="63">
        <v>12</v>
      </c>
      <c r="B15" s="64">
        <v>44045.637503587961</v>
      </c>
      <c r="C15" s="65" t="s">
        <v>99</v>
      </c>
      <c r="D15" s="65" t="s">
        <v>38</v>
      </c>
      <c r="E15" s="65" t="s">
        <v>27</v>
      </c>
      <c r="F15" s="65" t="s">
        <v>52</v>
      </c>
      <c r="G15" s="66">
        <v>44047</v>
      </c>
      <c r="H15" s="66">
        <v>44057</v>
      </c>
      <c r="I15" s="65">
        <v>12</v>
      </c>
      <c r="J15" s="67"/>
      <c r="K15" s="22"/>
      <c r="T15" s="63">
        <v>8</v>
      </c>
      <c r="U15" s="64">
        <v>44045.637503587961</v>
      </c>
      <c r="V15" s="65" t="s">
        <v>95</v>
      </c>
      <c r="W15" s="65" t="s">
        <v>41</v>
      </c>
      <c r="X15" s="65" t="s">
        <v>27</v>
      </c>
      <c r="Y15" s="65" t="s">
        <v>53</v>
      </c>
      <c r="Z15" s="66">
        <v>44072</v>
      </c>
      <c r="AA15" s="66">
        <v>44081</v>
      </c>
    </row>
    <row r="16" spans="1:27" x14ac:dyDescent="0.25">
      <c r="A16" s="58">
        <v>13</v>
      </c>
      <c r="B16" s="59">
        <v>44047.414270775465</v>
      </c>
      <c r="C16" s="60" t="s">
        <v>100</v>
      </c>
      <c r="D16" s="60" t="s">
        <v>34</v>
      </c>
      <c r="E16" s="60" t="s">
        <v>24</v>
      </c>
      <c r="F16" s="60" t="s">
        <v>53</v>
      </c>
      <c r="G16" s="61">
        <v>44066</v>
      </c>
      <c r="H16" s="61">
        <v>44080</v>
      </c>
      <c r="I16" s="60">
        <v>2</v>
      </c>
      <c r="J16" s="62"/>
      <c r="K16" s="22"/>
      <c r="T16" s="63">
        <v>10</v>
      </c>
      <c r="U16" s="64">
        <v>44045.637503587961</v>
      </c>
      <c r="V16" s="65" t="s">
        <v>97</v>
      </c>
      <c r="W16" s="65" t="s">
        <v>42</v>
      </c>
      <c r="X16" s="65" t="s">
        <v>28</v>
      </c>
      <c r="Y16" s="65" t="s">
        <v>59</v>
      </c>
      <c r="Z16" s="66">
        <v>44050</v>
      </c>
      <c r="AA16" s="66">
        <v>44062</v>
      </c>
    </row>
    <row r="17" spans="1:27" x14ac:dyDescent="0.25">
      <c r="A17" s="63">
        <v>14</v>
      </c>
      <c r="B17" s="64">
        <v>44048.487060185187</v>
      </c>
      <c r="C17" s="65" t="s">
        <v>101</v>
      </c>
      <c r="D17" s="65" t="s">
        <v>38</v>
      </c>
      <c r="E17" s="65" t="s">
        <v>27</v>
      </c>
      <c r="F17" s="65" t="s">
        <v>52</v>
      </c>
      <c r="G17" s="66">
        <v>44067</v>
      </c>
      <c r="H17" s="66">
        <v>44080</v>
      </c>
      <c r="I17" s="65">
        <v>2</v>
      </c>
      <c r="J17" s="67"/>
      <c r="K17" s="22"/>
      <c r="T17" s="58">
        <v>19</v>
      </c>
      <c r="U17" s="59">
        <v>44050.705636574072</v>
      </c>
      <c r="V17" s="60" t="s">
        <v>108</v>
      </c>
      <c r="W17" s="60" t="s">
        <v>43</v>
      </c>
      <c r="X17" s="60" t="s">
        <v>50</v>
      </c>
      <c r="Y17" s="60" t="s">
        <v>52</v>
      </c>
      <c r="Z17" s="61">
        <v>44038</v>
      </c>
      <c r="AA17" s="61">
        <v>44078</v>
      </c>
    </row>
    <row r="18" spans="1:27" x14ac:dyDescent="0.25">
      <c r="A18" s="58">
        <v>15</v>
      </c>
      <c r="B18" s="59">
        <v>44048.504583333335</v>
      </c>
      <c r="C18" s="60" t="s">
        <v>102</v>
      </c>
      <c r="D18" s="60" t="s">
        <v>10</v>
      </c>
      <c r="E18" s="60" t="s">
        <v>24</v>
      </c>
      <c r="F18" s="60" t="s">
        <v>52</v>
      </c>
      <c r="G18" s="61">
        <v>44068</v>
      </c>
      <c r="H18" s="61">
        <v>44079</v>
      </c>
      <c r="I18" s="60">
        <v>1</v>
      </c>
      <c r="J18" s="62"/>
      <c r="K18" s="22"/>
      <c r="T18" s="63">
        <v>18</v>
      </c>
      <c r="U18" s="64">
        <v>44050.694675925923</v>
      </c>
      <c r="V18" s="65" t="s">
        <v>107</v>
      </c>
      <c r="W18" s="65" t="s">
        <v>47</v>
      </c>
      <c r="X18" s="65" t="s">
        <v>27</v>
      </c>
      <c r="Y18" s="65" t="s">
        <v>22</v>
      </c>
      <c r="Z18" s="66">
        <v>44027</v>
      </c>
      <c r="AA18" s="66">
        <v>44093</v>
      </c>
    </row>
    <row r="19" spans="1:27" x14ac:dyDescent="0.25">
      <c r="A19" s="63">
        <v>16</v>
      </c>
      <c r="B19" s="64">
        <v>44048.662060185183</v>
      </c>
      <c r="C19" s="65" t="s">
        <v>103</v>
      </c>
      <c r="D19" s="65" t="s">
        <v>33</v>
      </c>
      <c r="E19" s="65" t="s">
        <v>50</v>
      </c>
      <c r="F19" s="65" t="s">
        <v>22</v>
      </c>
      <c r="G19" s="66">
        <v>44099</v>
      </c>
      <c r="H19" s="66">
        <v>44111</v>
      </c>
      <c r="I19" s="65">
        <v>1</v>
      </c>
      <c r="J19" s="67"/>
      <c r="K19" s="22"/>
    </row>
    <row r="20" spans="1:27" x14ac:dyDescent="0.25">
      <c r="A20" s="58">
        <v>17</v>
      </c>
      <c r="B20" s="59">
        <v>44048.667187500003</v>
      </c>
      <c r="C20" s="60" t="s">
        <v>104</v>
      </c>
      <c r="D20" s="60" t="s">
        <v>33</v>
      </c>
      <c r="E20" s="60" t="s">
        <v>50</v>
      </c>
      <c r="F20" s="60" t="s">
        <v>23</v>
      </c>
      <c r="G20" s="61">
        <v>43881</v>
      </c>
      <c r="H20" s="61">
        <v>43895</v>
      </c>
      <c r="I20" s="60">
        <v>1</v>
      </c>
      <c r="J20" s="62"/>
      <c r="K20" s="22"/>
    </row>
    <row r="21" spans="1:27" x14ac:dyDescent="0.25">
      <c r="A21" s="63">
        <v>18</v>
      </c>
      <c r="B21" s="64">
        <v>44050.694675925923</v>
      </c>
      <c r="C21" s="65" t="s">
        <v>107</v>
      </c>
      <c r="D21" s="65" t="s">
        <v>47</v>
      </c>
      <c r="E21" s="65" t="s">
        <v>27</v>
      </c>
      <c r="F21" s="65" t="s">
        <v>22</v>
      </c>
      <c r="G21" s="66">
        <v>44027</v>
      </c>
      <c r="H21" s="66">
        <v>44093</v>
      </c>
      <c r="I21" s="65">
        <v>1</v>
      </c>
      <c r="J21" s="67" t="s">
        <v>109</v>
      </c>
      <c r="K21" s="22"/>
    </row>
    <row r="22" spans="1:27" x14ac:dyDescent="0.25">
      <c r="A22" s="58">
        <v>19</v>
      </c>
      <c r="B22" s="59">
        <v>44050.705636574072</v>
      </c>
      <c r="C22" s="60" t="s">
        <v>108</v>
      </c>
      <c r="D22" s="60" t="s">
        <v>43</v>
      </c>
      <c r="E22" s="60" t="s">
        <v>50</v>
      </c>
      <c r="F22" s="60" t="s">
        <v>52</v>
      </c>
      <c r="G22" s="61">
        <v>44038</v>
      </c>
      <c r="H22" s="61">
        <v>44078</v>
      </c>
      <c r="I22" s="60">
        <v>1</v>
      </c>
      <c r="J22" s="62"/>
      <c r="K22" s="22"/>
    </row>
    <row r="23" spans="1:27" x14ac:dyDescent="0.25">
      <c r="A23" s="63"/>
      <c r="B23" s="65"/>
      <c r="C23" s="65"/>
      <c r="D23" s="65"/>
      <c r="E23" s="65"/>
      <c r="F23" s="65"/>
      <c r="G23" s="66"/>
      <c r="H23" s="66"/>
      <c r="I23" s="65"/>
      <c r="J23" s="67"/>
      <c r="K23" s="22"/>
    </row>
    <row r="24" spans="1:27" x14ac:dyDescent="0.25">
      <c r="A24" s="58"/>
      <c r="B24" s="60"/>
      <c r="C24" s="60"/>
      <c r="D24" s="60"/>
      <c r="E24" s="60"/>
      <c r="F24" s="60"/>
      <c r="G24" s="61"/>
      <c r="H24" s="61"/>
      <c r="I24" s="60"/>
      <c r="J24" s="62"/>
      <c r="K24" s="22"/>
    </row>
    <row r="25" spans="1:27" x14ac:dyDescent="0.25">
      <c r="A25" s="63"/>
      <c r="B25" s="65"/>
      <c r="C25" s="65"/>
      <c r="D25" s="65"/>
      <c r="E25" s="65"/>
      <c r="F25" s="65"/>
      <c r="G25" s="66"/>
      <c r="H25" s="66"/>
      <c r="I25" s="65"/>
      <c r="J25" s="67"/>
      <c r="K25" s="22"/>
    </row>
    <row r="26" spans="1:27" x14ac:dyDescent="0.25">
      <c r="A26" s="58"/>
      <c r="B26" s="60"/>
      <c r="C26" s="60"/>
      <c r="D26" s="60"/>
      <c r="E26" s="60"/>
      <c r="F26" s="60"/>
      <c r="G26" s="61"/>
      <c r="H26" s="61"/>
      <c r="I26" s="60"/>
      <c r="J26" s="62"/>
      <c r="K26" s="22"/>
    </row>
    <row r="27" spans="1:27" x14ac:dyDescent="0.25">
      <c r="A27" s="63"/>
      <c r="B27" s="65"/>
      <c r="C27" s="65"/>
      <c r="D27" s="65"/>
      <c r="E27" s="65"/>
      <c r="F27" s="65"/>
      <c r="G27" s="66"/>
      <c r="H27" s="66"/>
      <c r="I27" s="65"/>
      <c r="J27" s="67"/>
      <c r="K27" s="22"/>
    </row>
    <row r="28" spans="1:27" x14ac:dyDescent="0.25">
      <c r="A28" s="58"/>
      <c r="B28" s="60"/>
      <c r="C28" s="60"/>
      <c r="D28" s="60"/>
      <c r="E28" s="60"/>
      <c r="F28" s="60"/>
      <c r="G28" s="61"/>
      <c r="H28" s="61"/>
      <c r="I28" s="60"/>
      <c r="J28" s="62"/>
      <c r="K28" s="22"/>
    </row>
    <row r="29" spans="1:27" x14ac:dyDescent="0.25">
      <c r="A29" s="63"/>
      <c r="B29" s="65"/>
      <c r="C29" s="65"/>
      <c r="D29" s="65"/>
      <c r="E29" s="65"/>
      <c r="F29" s="65"/>
      <c r="G29" s="66"/>
      <c r="H29" s="66"/>
      <c r="I29" s="65"/>
      <c r="J29" s="67"/>
      <c r="K29" s="22"/>
    </row>
    <row r="30" spans="1:27" x14ac:dyDescent="0.25">
      <c r="A30" s="58"/>
      <c r="B30" s="60"/>
      <c r="C30" s="60"/>
      <c r="D30" s="60"/>
      <c r="E30" s="60"/>
      <c r="F30" s="60"/>
      <c r="G30" s="61"/>
      <c r="H30" s="61"/>
      <c r="I30" s="60"/>
      <c r="J30" s="62"/>
      <c r="K30" s="22"/>
    </row>
    <row r="31" spans="1:27" x14ac:dyDescent="0.25">
      <c r="A31" s="63"/>
      <c r="B31" s="65"/>
      <c r="C31" s="65"/>
      <c r="D31" s="65"/>
      <c r="E31" s="65"/>
      <c r="F31" s="65"/>
      <c r="G31" s="66"/>
      <c r="H31" s="66"/>
      <c r="I31" s="65"/>
      <c r="J31" s="67"/>
      <c r="K31" s="22"/>
    </row>
    <row r="32" spans="1:27" x14ac:dyDescent="0.25">
      <c r="A32" s="58"/>
      <c r="B32" s="60"/>
      <c r="C32" s="60"/>
      <c r="D32" s="60"/>
      <c r="E32" s="60"/>
      <c r="F32" s="60"/>
      <c r="G32" s="61"/>
      <c r="H32" s="61"/>
      <c r="I32" s="60"/>
      <c r="J32" s="62"/>
      <c r="K32" s="22"/>
    </row>
    <row r="33" spans="1:11" x14ac:dyDescent="0.25">
      <c r="A33" s="68"/>
      <c r="B33" s="65"/>
      <c r="C33" s="65"/>
      <c r="D33" s="65"/>
      <c r="E33" s="65"/>
      <c r="F33" s="65"/>
      <c r="G33" s="66"/>
      <c r="H33" s="66"/>
      <c r="I33" s="65"/>
      <c r="J33" s="67"/>
      <c r="K33" s="22"/>
    </row>
    <row r="34" spans="1:11" x14ac:dyDescent="0.25">
      <c r="A34" s="69"/>
      <c r="B34" s="60"/>
      <c r="C34" s="60"/>
      <c r="D34" s="60"/>
      <c r="E34" s="60"/>
      <c r="F34" s="60"/>
      <c r="G34" s="61"/>
      <c r="H34" s="61"/>
      <c r="I34" s="60"/>
      <c r="J34" s="62"/>
      <c r="K34" s="22"/>
    </row>
    <row r="35" spans="1:11" x14ac:dyDescent="0.25">
      <c r="A35" s="50"/>
      <c r="B35" s="70"/>
      <c r="C35" s="70"/>
      <c r="D35" s="70"/>
      <c r="E35" s="70"/>
      <c r="F35" s="70"/>
      <c r="G35" s="71"/>
      <c r="H35" s="71"/>
      <c r="I35" s="70"/>
      <c r="J35" s="45"/>
      <c r="K35" s="22"/>
    </row>
    <row r="36" spans="1:11" x14ac:dyDescent="0.25">
      <c r="G36" s="21"/>
      <c r="H36" s="21"/>
    </row>
    <row r="37" spans="1:11" x14ac:dyDescent="0.25">
      <c r="G37" s="21"/>
      <c r="H37" s="21"/>
    </row>
    <row r="38" spans="1:11" x14ac:dyDescent="0.25">
      <c r="G38" s="21"/>
      <c r="H38" s="21"/>
    </row>
    <row r="39" spans="1:11" x14ac:dyDescent="0.25">
      <c r="G39" s="21"/>
      <c r="H39" s="21"/>
    </row>
  </sheetData>
  <sortState xmlns:xlrd2="http://schemas.microsoft.com/office/spreadsheetml/2017/richdata2" ref="T3:AA18">
    <sortCondition ref="W3"/>
  </sortState>
  <mergeCells count="3">
    <mergeCell ref="N1:R1"/>
    <mergeCell ref="T1:AA1"/>
    <mergeCell ref="A2:J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2"/>
  <sheetViews>
    <sheetView workbookViewId="0">
      <selection activeCell="B3" sqref="B3"/>
    </sheetView>
  </sheetViews>
  <sheetFormatPr defaultRowHeight="15" x14ac:dyDescent="0.25"/>
  <cols>
    <col min="1" max="1" width="10.7109375" customWidth="1"/>
    <col min="2" max="2" width="19.140625" customWidth="1"/>
    <col min="3" max="3" width="18.28515625" customWidth="1"/>
    <col min="5" max="5" width="10.85546875" bestFit="1" customWidth="1"/>
    <col min="6" max="6" width="7.140625" customWidth="1"/>
    <col min="7" max="7" width="9.7109375" customWidth="1"/>
  </cols>
  <sheetData>
    <row r="1" spans="1:7" x14ac:dyDescent="0.25">
      <c r="A1" s="124" t="s">
        <v>29</v>
      </c>
      <c r="B1" s="124"/>
      <c r="C1" s="124"/>
      <c r="E1" s="26" t="s">
        <v>86</v>
      </c>
      <c r="F1" s="43"/>
      <c r="G1" s="26" t="s">
        <v>87</v>
      </c>
    </row>
    <row r="2" spans="1:7" x14ac:dyDescent="0.25">
      <c r="A2" s="72" t="s">
        <v>2</v>
      </c>
      <c r="B2" s="73" t="s">
        <v>3</v>
      </c>
      <c r="C2" s="74" t="s">
        <v>30</v>
      </c>
      <c r="E2" s="49" t="s">
        <v>3</v>
      </c>
      <c r="F2" s="43"/>
      <c r="G2" s="48" t="s">
        <v>2</v>
      </c>
    </row>
    <row r="3" spans="1:7" x14ac:dyDescent="0.25">
      <c r="A3" s="69" t="s">
        <v>10</v>
      </c>
      <c r="B3" s="75" t="s">
        <v>24</v>
      </c>
      <c r="C3" s="76"/>
      <c r="E3" s="54" t="str">
        <f>IF(OR(Schedule!$AI$6="[All Rooms]",Schedule!$AI$6=""),"",Schedule!$AI$6)</f>
        <v/>
      </c>
      <c r="G3" s="69" t="s">
        <v>10</v>
      </c>
    </row>
    <row r="4" spans="1:7" x14ac:dyDescent="0.25">
      <c r="A4" s="68" t="s">
        <v>31</v>
      </c>
      <c r="B4" s="77" t="s">
        <v>27</v>
      </c>
      <c r="C4" s="78"/>
      <c r="G4" s="68" t="s">
        <v>31</v>
      </c>
    </row>
    <row r="5" spans="1:7" x14ac:dyDescent="0.25">
      <c r="A5" s="69" t="s">
        <v>32</v>
      </c>
      <c r="B5" s="75" t="s">
        <v>28</v>
      </c>
      <c r="C5" s="76"/>
      <c r="G5" s="69" t="s">
        <v>32</v>
      </c>
    </row>
    <row r="6" spans="1:7" x14ac:dyDescent="0.25">
      <c r="A6" s="68" t="s">
        <v>33</v>
      </c>
      <c r="B6" s="77" t="s">
        <v>50</v>
      </c>
      <c r="C6" s="78"/>
      <c r="G6" s="68" t="s">
        <v>33</v>
      </c>
    </row>
    <row r="7" spans="1:7" x14ac:dyDescent="0.25">
      <c r="A7" s="69" t="s">
        <v>34</v>
      </c>
      <c r="B7" s="75" t="s">
        <v>24</v>
      </c>
      <c r="C7" s="76"/>
      <c r="G7" s="69" t="s">
        <v>34</v>
      </c>
    </row>
    <row r="8" spans="1:7" x14ac:dyDescent="0.25">
      <c r="A8" s="68" t="s">
        <v>35</v>
      </c>
      <c r="B8" s="77" t="s">
        <v>27</v>
      </c>
      <c r="C8" s="78"/>
      <c r="G8" s="68" t="s">
        <v>35</v>
      </c>
    </row>
    <row r="9" spans="1:7" x14ac:dyDescent="0.25">
      <c r="A9" s="69" t="s">
        <v>36</v>
      </c>
      <c r="B9" s="75" t="s">
        <v>28</v>
      </c>
      <c r="C9" s="76"/>
      <c r="G9" s="69" t="s">
        <v>36</v>
      </c>
    </row>
    <row r="10" spans="1:7" x14ac:dyDescent="0.25">
      <c r="A10" s="68" t="s">
        <v>37</v>
      </c>
      <c r="B10" s="77" t="s">
        <v>24</v>
      </c>
      <c r="C10" s="78"/>
      <c r="G10" s="68" t="s">
        <v>37</v>
      </c>
    </row>
    <row r="11" spans="1:7" x14ac:dyDescent="0.25">
      <c r="A11" s="69" t="s">
        <v>38</v>
      </c>
      <c r="B11" s="75" t="s">
        <v>27</v>
      </c>
      <c r="C11" s="76"/>
      <c r="G11" s="69" t="s">
        <v>38</v>
      </c>
    </row>
    <row r="12" spans="1:7" x14ac:dyDescent="0.25">
      <c r="A12" s="68" t="s">
        <v>39</v>
      </c>
      <c r="B12" s="77" t="s">
        <v>28</v>
      </c>
      <c r="C12" s="78"/>
      <c r="G12" s="68" t="s">
        <v>39</v>
      </c>
    </row>
    <row r="13" spans="1:7" x14ac:dyDescent="0.25">
      <c r="A13" s="69" t="s">
        <v>40</v>
      </c>
      <c r="B13" s="75" t="s">
        <v>24</v>
      </c>
      <c r="C13" s="76"/>
      <c r="G13" s="69" t="s">
        <v>40</v>
      </c>
    </row>
    <row r="14" spans="1:7" x14ac:dyDescent="0.25">
      <c r="A14" s="68" t="s">
        <v>41</v>
      </c>
      <c r="B14" s="77" t="s">
        <v>27</v>
      </c>
      <c r="C14" s="78"/>
      <c r="G14" s="68" t="s">
        <v>41</v>
      </c>
    </row>
    <row r="15" spans="1:7" x14ac:dyDescent="0.25">
      <c r="A15" s="69" t="s">
        <v>42</v>
      </c>
      <c r="B15" s="75" t="s">
        <v>28</v>
      </c>
      <c r="C15" s="76"/>
      <c r="G15" s="69" t="s">
        <v>42</v>
      </c>
    </row>
    <row r="16" spans="1:7" x14ac:dyDescent="0.25">
      <c r="A16" s="68" t="s">
        <v>43</v>
      </c>
      <c r="B16" s="77" t="s">
        <v>50</v>
      </c>
      <c r="C16" s="78"/>
      <c r="G16" s="68" t="s">
        <v>43</v>
      </c>
    </row>
    <row r="17" spans="1:7" x14ac:dyDescent="0.25">
      <c r="A17" s="69" t="s">
        <v>44</v>
      </c>
      <c r="B17" s="75" t="s">
        <v>27</v>
      </c>
      <c r="C17" s="76"/>
      <c r="G17" s="69" t="s">
        <v>44</v>
      </c>
    </row>
    <row r="18" spans="1:7" x14ac:dyDescent="0.25">
      <c r="A18" s="68" t="s">
        <v>45</v>
      </c>
      <c r="B18" s="77" t="s">
        <v>28</v>
      </c>
      <c r="C18" s="78"/>
      <c r="G18" s="68" t="s">
        <v>45</v>
      </c>
    </row>
    <row r="19" spans="1:7" x14ac:dyDescent="0.25">
      <c r="A19" s="69" t="s">
        <v>46</v>
      </c>
      <c r="B19" s="75" t="s">
        <v>24</v>
      </c>
      <c r="C19" s="76"/>
      <c r="G19" s="69" t="s">
        <v>46</v>
      </c>
    </row>
    <row r="20" spans="1:7" x14ac:dyDescent="0.25">
      <c r="A20" s="68" t="s">
        <v>47</v>
      </c>
      <c r="B20" s="77" t="s">
        <v>27</v>
      </c>
      <c r="C20" s="78"/>
      <c r="G20" s="68" t="s">
        <v>47</v>
      </c>
    </row>
    <row r="21" spans="1:7" x14ac:dyDescent="0.25">
      <c r="A21" s="69" t="s">
        <v>48</v>
      </c>
      <c r="B21" s="75" t="s">
        <v>28</v>
      </c>
      <c r="C21" s="76"/>
      <c r="G21" s="69" t="s">
        <v>48</v>
      </c>
    </row>
    <row r="22" spans="1:7" x14ac:dyDescent="0.25">
      <c r="A22" s="50" t="s">
        <v>49</v>
      </c>
      <c r="B22" s="51" t="s">
        <v>24</v>
      </c>
      <c r="C22" s="52"/>
      <c r="G22" s="50" t="s">
        <v>49</v>
      </c>
    </row>
  </sheetData>
  <mergeCells count="1">
    <mergeCell ref="A1:C1"/>
  </mergeCells>
  <pageMargins left="0.7" right="0.7" top="0.75" bottom="0.75" header="0.3" footer="0.3"/>
  <pageSetup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0"/>
  <sheetViews>
    <sheetView workbookViewId="0">
      <selection activeCell="B7" sqref="B7"/>
    </sheetView>
  </sheetViews>
  <sheetFormatPr defaultRowHeight="15" x14ac:dyDescent="0.25"/>
  <cols>
    <col min="1" max="1" width="12.28515625" bestFit="1" customWidth="1"/>
  </cols>
  <sheetData>
    <row r="1" spans="1:8" x14ac:dyDescent="0.25">
      <c r="A1" s="21">
        <v>44047</v>
      </c>
      <c r="B1" s="44" t="str">
        <f>IF(WEEKDAY(DATE(CalYear,MATCH($A$4,CalMonths,0),1))=1,DATE(CalYear,MATCH($A$4,CalMonths,0),1),"")</f>
        <v/>
      </c>
      <c r="C1" s="44" t="str">
        <f>IF(B1&lt;&gt;"",B1+1,IF(WEEKDAY(DATE(CalYear,MATCH($A$4,CalMonths,0),1))=2,DATE(CalYear,MATCH($A$4,CalMonths,0),1),""))</f>
        <v/>
      </c>
      <c r="D1" s="44" t="str">
        <f>IF(C1&lt;&gt;"",C1+1,IF(WEEKDAY(DATE(CalYear,MATCH($A$4,CalMonths,0),1))=3,DATE(CalYear,MATCH($A$4,CalMonths,0),1),""))</f>
        <v/>
      </c>
      <c r="E1" s="44" t="str">
        <f>IF(D1&lt;&gt;"",D1+1,IF(WEEKDAY(DATE(CalYear,MATCH($A$4,CalMonths,0),1))=4,DATE(CalYear,MATCH($A$4,CalMonths,0),1),""))</f>
        <v/>
      </c>
      <c r="F1" s="44" t="str">
        <f>IF(E1&lt;&gt;"",E1+1,IF(WEEKDAY(DATE(CalYear,MATCH($A$4,CalMonths,0),1))=5,DATE(CalYear,MATCH($A$4,CalMonths,0),1),""))</f>
        <v/>
      </c>
      <c r="G1" s="44" t="str">
        <f>IF(F1&lt;&gt;"",F1+1,IF(WEEKDAY(DATE(CalYear,MATCH($A$4,CalMonths,0),1))=6,DATE(CalYear,MATCH($A$4,CalMonths,0),1),""))</f>
        <v/>
      </c>
      <c r="H1" s="44">
        <f>IF(G1&lt;&gt;"",G1+1,IF(WEEKDAY(DATE(CalYear,MATCH($A$4,CalMonths,0),1))=7,DATE(CalYear,MATCH($A$4,CalMonths,0),1),""))</f>
        <v>44044</v>
      </c>
    </row>
    <row r="2" spans="1:8" x14ac:dyDescent="0.25">
      <c r="A2">
        <v>2020</v>
      </c>
      <c r="B2" s="44">
        <f>H1+1</f>
        <v>44045</v>
      </c>
      <c r="C2" s="44">
        <f>B2+1</f>
        <v>44046</v>
      </c>
      <c r="D2" s="44">
        <f t="shared" ref="D2:H2" si="0">C2+1</f>
        <v>44047</v>
      </c>
      <c r="E2" s="44">
        <f t="shared" si="0"/>
        <v>44048</v>
      </c>
      <c r="F2" s="44">
        <f t="shared" si="0"/>
        <v>44049</v>
      </c>
      <c r="G2" s="44">
        <f t="shared" si="0"/>
        <v>44050</v>
      </c>
      <c r="H2" s="44">
        <f t="shared" si="0"/>
        <v>44051</v>
      </c>
    </row>
    <row r="3" spans="1:8" x14ac:dyDescent="0.25">
      <c r="A3">
        <v>8</v>
      </c>
      <c r="B3" s="44">
        <f t="shared" ref="B3:B4" si="1">H2+1</f>
        <v>44052</v>
      </c>
      <c r="C3" s="44">
        <f t="shared" ref="C3:H3" si="2">B3+1</f>
        <v>44053</v>
      </c>
      <c r="D3" s="44">
        <f t="shared" si="2"/>
        <v>44054</v>
      </c>
      <c r="E3" s="44">
        <f t="shared" si="2"/>
        <v>44055</v>
      </c>
      <c r="F3" s="44">
        <f t="shared" si="2"/>
        <v>44056</v>
      </c>
      <c r="G3" s="44">
        <f t="shared" si="2"/>
        <v>44057</v>
      </c>
      <c r="H3" s="44">
        <f t="shared" si="2"/>
        <v>44058</v>
      </c>
    </row>
    <row r="4" spans="1:8" x14ac:dyDescent="0.25">
      <c r="A4" t="str">
        <f>INDEX(CalMonths,A3,)</f>
        <v>August</v>
      </c>
      <c r="B4" s="44">
        <f t="shared" si="1"/>
        <v>44059</v>
      </c>
      <c r="C4" s="44">
        <f t="shared" ref="C4:H4" si="3">B4+1</f>
        <v>44060</v>
      </c>
      <c r="D4" s="44">
        <f t="shared" si="3"/>
        <v>44061</v>
      </c>
      <c r="E4" s="44">
        <f t="shared" si="3"/>
        <v>44062</v>
      </c>
      <c r="F4" s="44">
        <f t="shared" si="3"/>
        <v>44063</v>
      </c>
      <c r="G4" s="44">
        <f t="shared" si="3"/>
        <v>44064</v>
      </c>
      <c r="H4" s="44">
        <f t="shared" si="3"/>
        <v>44065</v>
      </c>
    </row>
    <row r="5" spans="1:8" x14ac:dyDescent="0.25">
      <c r="A5" t="str">
        <f>A4&amp;" "&amp;CalYear</f>
        <v>August 2020</v>
      </c>
      <c r="B5" s="44">
        <f>IF(OR(H4="",MONTH(H4+1)&lt;&gt;$A$3),"",H4+1)</f>
        <v>44066</v>
      </c>
      <c r="C5" s="44">
        <f>IFERROR(IF(MONTH(B5+1)&lt;&gt;$A$3,"",B5+1),"")</f>
        <v>44067</v>
      </c>
      <c r="D5" s="44">
        <f t="shared" ref="D5:G5" si="4">IFERROR(IF(MONTH(C5+1)&lt;&gt;$A$3,"",C5+1),"")</f>
        <v>44068</v>
      </c>
      <c r="E5" s="44">
        <f t="shared" si="4"/>
        <v>44069</v>
      </c>
      <c r="F5" s="44">
        <f t="shared" si="4"/>
        <v>44070</v>
      </c>
      <c r="G5" s="44">
        <f t="shared" si="4"/>
        <v>44071</v>
      </c>
      <c r="H5" s="44">
        <f>IFERROR(IF(MONTH(G5+1)&lt;&gt;$A$3,"",G5+1),"")</f>
        <v>44072</v>
      </c>
    </row>
    <row r="6" spans="1:8" x14ac:dyDescent="0.25">
      <c r="A6" s="44">
        <f>SUM(B6:H6)</f>
        <v>88147</v>
      </c>
      <c r="B6" s="44">
        <f>IF(H5="","",IF(OR(H5="",MONTH(H5+1)&lt;&gt;$A$3),"",H5+1))</f>
        <v>44073</v>
      </c>
      <c r="C6" s="44">
        <f>IFERROR(IF(MONTH(B6+1)&lt;&gt;$A$3,"",B6+1),"")</f>
        <v>44074</v>
      </c>
      <c r="D6" s="44" t="str">
        <f t="shared" ref="D6" si="5">IFERROR(IF(MONTH(C6+1)&lt;&gt;$A$3,"",C6+1),"")</f>
        <v/>
      </c>
      <c r="E6" s="44" t="str">
        <f t="shared" ref="E6" si="6">IFERROR(IF(MONTH(D6+1)&lt;&gt;$A$3,"",D6+1),"")</f>
        <v/>
      </c>
      <c r="F6" s="44" t="str">
        <f t="shared" ref="F6" si="7">IFERROR(IF(MONTH(E6+1)&lt;&gt;$A$3,"",E6+1),"")</f>
        <v/>
      </c>
      <c r="G6" s="44" t="str">
        <f t="shared" ref="G6" si="8">IFERROR(IF(MONTH(F6+1)&lt;&gt;$A$3,"",F6+1),"")</f>
        <v/>
      </c>
      <c r="H6" s="44" t="str">
        <f t="shared" ref="H6" si="9">IFERROR(IF(MONTH(G6+1)&lt;&gt;$A$3,"",G6+1),"")</f>
        <v/>
      </c>
    </row>
    <row r="7" spans="1:8" x14ac:dyDescent="0.25">
      <c r="B7">
        <v>1</v>
      </c>
      <c r="C7">
        <v>2</v>
      </c>
      <c r="D7">
        <v>3</v>
      </c>
      <c r="E7">
        <v>4</v>
      </c>
      <c r="F7">
        <v>5</v>
      </c>
      <c r="G7">
        <v>6</v>
      </c>
      <c r="H7">
        <v>7</v>
      </c>
    </row>
    <row r="8" spans="1:8" x14ac:dyDescent="0.25">
      <c r="A8" t="s">
        <v>69</v>
      </c>
      <c r="B8">
        <v>8</v>
      </c>
      <c r="C8">
        <v>9</v>
      </c>
      <c r="D8">
        <v>10</v>
      </c>
      <c r="E8">
        <v>11</v>
      </c>
      <c r="F8">
        <v>12</v>
      </c>
      <c r="G8">
        <v>13</v>
      </c>
      <c r="H8">
        <v>14</v>
      </c>
    </row>
    <row r="9" spans="1:8" x14ac:dyDescent="0.25">
      <c r="A9" t="s">
        <v>70</v>
      </c>
      <c r="B9">
        <v>15</v>
      </c>
      <c r="C9">
        <v>16</v>
      </c>
      <c r="D9">
        <v>17</v>
      </c>
      <c r="E9">
        <v>18</v>
      </c>
      <c r="F9">
        <v>19</v>
      </c>
      <c r="G9">
        <v>20</v>
      </c>
      <c r="H9">
        <v>21</v>
      </c>
    </row>
    <row r="10" spans="1:8" x14ac:dyDescent="0.25">
      <c r="A10" t="s">
        <v>71</v>
      </c>
      <c r="B10">
        <v>22</v>
      </c>
      <c r="C10">
        <v>23</v>
      </c>
      <c r="D10">
        <v>24</v>
      </c>
      <c r="E10">
        <v>25</v>
      </c>
      <c r="F10">
        <v>26</v>
      </c>
      <c r="G10">
        <v>27</v>
      </c>
      <c r="H10">
        <v>28</v>
      </c>
    </row>
    <row r="11" spans="1:8" x14ac:dyDescent="0.25">
      <c r="A11" t="s">
        <v>72</v>
      </c>
      <c r="B11">
        <v>29</v>
      </c>
      <c r="C11">
        <v>30</v>
      </c>
      <c r="D11">
        <v>31</v>
      </c>
      <c r="E11">
        <v>32</v>
      </c>
      <c r="F11">
        <v>33</v>
      </c>
      <c r="G11">
        <v>34</v>
      </c>
      <c r="H11">
        <v>35</v>
      </c>
    </row>
    <row r="12" spans="1:8" x14ac:dyDescent="0.25">
      <c r="A12" t="s">
        <v>73</v>
      </c>
      <c r="B12">
        <v>36</v>
      </c>
      <c r="C12">
        <v>37</v>
      </c>
      <c r="D12">
        <v>38</v>
      </c>
      <c r="E12">
        <v>39</v>
      </c>
      <c r="F12">
        <v>40</v>
      </c>
      <c r="G12">
        <v>41</v>
      </c>
      <c r="H12">
        <v>42</v>
      </c>
    </row>
    <row r="13" spans="1:8" x14ac:dyDescent="0.25">
      <c r="A13" t="s">
        <v>74</v>
      </c>
    </row>
    <row r="14" spans="1:8" x14ac:dyDescent="0.25">
      <c r="A14" t="s">
        <v>75</v>
      </c>
    </row>
    <row r="15" spans="1:8" x14ac:dyDescent="0.25">
      <c r="A15" t="s">
        <v>76</v>
      </c>
    </row>
    <row r="16" spans="1:8" x14ac:dyDescent="0.25">
      <c r="A16" t="s">
        <v>77</v>
      </c>
    </row>
    <row r="17" spans="1:1" x14ac:dyDescent="0.25">
      <c r="A17" t="s">
        <v>78</v>
      </c>
    </row>
    <row r="18" spans="1:1" x14ac:dyDescent="0.25">
      <c r="A18" t="s">
        <v>79</v>
      </c>
    </row>
    <row r="19" spans="1:1" x14ac:dyDescent="0.25">
      <c r="A19" t="s">
        <v>80</v>
      </c>
    </row>
    <row r="20" spans="1:1" x14ac:dyDescent="0.25">
      <c r="A20">
        <f ca="1">IFERROR(INDIRECT(ADDRESS(SUMPRODUCT((B1:H6=A1)*ROW(B1:H6))+6,SUMPRODUCT((B1:H6=A1)*COLUMN(B1:H6)),1,1)),"")</f>
        <v>10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90C4A3A1B28B4187AAC2AF4A80BCD4" ma:contentTypeVersion="6" ma:contentTypeDescription="Create a new document." ma:contentTypeScope="" ma:versionID="be2cce8d952ffcb8c2a72e998d9e8a8b">
  <xsd:schema xmlns:xsd="http://www.w3.org/2001/XMLSchema" xmlns:xs="http://www.w3.org/2001/XMLSchema" xmlns:p="http://schemas.microsoft.com/office/2006/metadata/properties" xmlns:ns2="6053ec61-4fcf-4f7e-b79d-01e5d79fe80a" targetNamespace="http://schemas.microsoft.com/office/2006/metadata/properties" ma:root="true" ma:fieldsID="435dcb8228c9dd42fb33f04e6218012e" ns2:_="">
    <xsd:import namespace="6053ec61-4fcf-4f7e-b79d-01e5d79fe80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53ec61-4fcf-4f7e-b79d-01e5d79fe80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E05B8E8-B68C-4AA0-9E70-D0CECE9D5D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532215-6242-4D77-9654-01347229BF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053ec61-4fcf-4f7e-b79d-01e5d79fe80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357F3B7-B339-4A8A-9728-294EA8365F6D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Schedule</vt:lpstr>
      <vt:lpstr>Bookings</vt:lpstr>
      <vt:lpstr>Rooms</vt:lpstr>
      <vt:lpstr>CalPopUp</vt:lpstr>
      <vt:lpstr>CalMonths</vt:lpstr>
      <vt:lpstr>CalYear</vt:lpstr>
      <vt:lpstr>Bookings!Criteria</vt:lpstr>
      <vt:lpstr>Rooms!Criteria</vt:lpstr>
      <vt:lpstr>Bookings!Extract</vt:lpstr>
      <vt:lpstr>Rooms!Extract</vt:lpstr>
      <vt:lpstr>RoomTypesWithAll</vt:lpstr>
      <vt:lpstr>StartDate</vt:lpstr>
      <vt:lpstr>Status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Randy Austin</cp:lastModifiedBy>
  <dcterms:created xsi:type="dcterms:W3CDTF">2020-07-30T10:23:26Z</dcterms:created>
  <dcterms:modified xsi:type="dcterms:W3CDTF">2020-10-21T06:34:52Z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0x0101007990C4A3A1B28B4187AAC2AF4A80BCD4</vt:lpwstr>
  </property>
</Properties>
</file>