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316AF4FF-6532-DD95-964C-923D217D005E}"/>
  <workbookPr codeName="ThisWorkbook" defaultThemeVersion="124226"/>
  <bookViews>
    <workbookView xWindow="480" yWindow="45" windowWidth="18195" windowHeight="9285"/>
  </bookViews>
  <sheets>
    <sheet name="Loan Manager" sheetId="1" r:id="rId1"/>
    <sheet name="Loans" sheetId="2" r:id="rId2"/>
    <sheet name="Payments" sheetId="3" r:id="rId3"/>
    <sheet name="Admin" sheetId="4" r:id="rId4"/>
  </sheets>
  <externalReferences>
    <externalReference r:id="rId5"/>
  </externalReferences>
  <definedNames>
    <definedName name="_xlnm._FilterDatabase" localSheetId="2" hidden="1">Payments!$A$3:$J$12</definedName>
    <definedName name="_xlnm.Criteria" localSheetId="2">Payments!$K$2:$K$3</definedName>
    <definedName name="Days">[1]Summary!$D$6:$D$12</definedName>
    <definedName name="_xlnm.Extract" localSheetId="2">Payments!$M$2:$R$2</definedName>
    <definedName name="Frequency">Admin!$B$5:$B$12</definedName>
    <definedName name="Loan_Amt">OFFSET(Loans!$E$3,1,,COUNTA(Loans!$A$3:$A$999)-1,1)</definedName>
    <definedName name="Loan_Date">OFFSET(Loans!$C$3,1,,COUNTA(Loans!$A$3:$A$999)-1,1)</definedName>
    <definedName name="Loan_ID">OFFSET(Loans!$A$3,1,,COUNTA(Loans!$A$3:$A$999)-1,1)</definedName>
    <definedName name="Loan_Name">OFFSET(Loans!$B$3,1,,COUNTA(Loans!$A$3:$A$999)-1,1)</definedName>
    <definedName name="Loan_NextPmnt">OFFSET(Loans!$K$3,1,,COUNTA(Loans!$A$3:$A$999)-1,1)</definedName>
    <definedName name="Loan_Type" comment="D">OFFSET(Loans!$D$3,1,,COUNTA(Loans!$A$3:$A$999)-1,1)</definedName>
    <definedName name="Months">'Loan Manager'!$B$27:$B$38</definedName>
    <definedName name="Pmnt._LoanID">OFFSET(Payments!$B$3,1,,COUNTA(Payments!$A$3:$A$9998)-1,1)</definedName>
    <definedName name="Pmnt_Amt">OFFSET(Payments!$D$3,1,,COUNTA(Payments!$A$3:$A$9998)-1,1)</definedName>
    <definedName name="Pmnt_Date">OFFSET(Payments!$C$3,1,,COUNTA(Payments!$A$3:$A$9998)-1,1)</definedName>
    <definedName name="Pmnt_ID">OFFSET(Payments!$A$3,1,,COUNTA(Payments!$A$3:$A$9998)-1,1)</definedName>
    <definedName name="Pmnt_IntAmt">OFFSET(Payments!$F$3,1,,COUNTA(Payments!$A$3:$A$9998)-1,1)</definedName>
    <definedName name="Pmnt_LoanType">OFFSET(Payments!$I$3,1,,COUNTA(Payments!$A$3:$A$9998)-1,1)</definedName>
    <definedName name="Pmnt_PrincAmt">OFFSET(Payments!$E$3,1,,COUNTA(Payments!$A$3:$A$9998)-1,1)</definedName>
    <definedName name="StartDayNumb">'Loan Manager'!$B$25</definedName>
    <definedName name="Weekdays">'Loan Manager'!$A$27:$A$33</definedName>
    <definedName name="Years">'Loan Manager'!$A$35:$A$38</definedName>
  </definedNames>
  <calcPr calcId="145621"/>
</workbook>
</file>

<file path=xl/calcChain.xml><?xml version="1.0" encoding="utf-8"?>
<calcChain xmlns="http://schemas.openxmlformats.org/spreadsheetml/2006/main">
  <c r="AF6" i="1" l="1"/>
  <c r="H12" i="3"/>
  <c r="B12" i="1"/>
  <c r="T13" i="1" s="1"/>
  <c r="T15" i="1"/>
  <c r="T14" i="1"/>
  <c r="T12" i="1"/>
  <c r="B15" i="1"/>
  <c r="O11" i="1"/>
  <c r="O10" i="1"/>
  <c r="B9" i="1"/>
  <c r="O5" i="1" s="1"/>
  <c r="O6" i="1" s="1"/>
  <c r="B4" i="1"/>
  <c r="H11" i="3"/>
  <c r="H6" i="3"/>
  <c r="H10" i="3"/>
  <c r="H9" i="3"/>
  <c r="B42" i="1"/>
  <c r="K3" i="3"/>
  <c r="O9" i="1"/>
  <c r="T16" i="1"/>
  <c r="H8" i="3"/>
  <c r="H5" i="3"/>
  <c r="H4" i="3"/>
  <c r="B41" i="1"/>
  <c r="B40" i="1"/>
  <c r="B39" i="1"/>
  <c r="H7" i="3"/>
  <c r="B11" i="1"/>
  <c r="B21" i="1"/>
  <c r="F4" i="1"/>
  <c r="F5" i="1"/>
  <c r="B8" i="1" s="1"/>
  <c r="F6" i="1"/>
  <c r="F7" i="1"/>
  <c r="F8" i="1"/>
  <c r="Z4" i="1"/>
  <c r="AA4" i="1" s="1"/>
  <c r="AB4" i="1" s="1"/>
  <c r="AC4" i="1" s="1"/>
  <c r="AD4" i="1" s="1"/>
  <c r="AE4" i="1" s="1"/>
  <c r="AF4" i="1" s="1"/>
  <c r="B10" i="1" l="1"/>
  <c r="B24" i="1"/>
  <c r="B16" i="1"/>
  <c r="B5" i="1"/>
  <c r="B25" i="1"/>
  <c r="Z5" i="1" l="1"/>
  <c r="AA5" i="1" s="1"/>
  <c r="W15" i="1"/>
  <c r="O7" i="1"/>
  <c r="O8" i="1" s="1"/>
  <c r="W13" i="1"/>
  <c r="W12" i="1"/>
  <c r="B20" i="1"/>
  <c r="B19" i="1"/>
  <c r="B18" i="1"/>
  <c r="Z6" i="1" l="1"/>
  <c r="B23" i="1"/>
  <c r="B22" i="1"/>
  <c r="AB5" i="1"/>
  <c r="AA6" i="1"/>
  <c r="W16" i="1"/>
  <c r="W14" i="1"/>
  <c r="AC5" i="1" l="1"/>
  <c r="AB6" i="1"/>
  <c r="AD5" i="1" l="1"/>
  <c r="AC6" i="1"/>
  <c r="AE5" i="1" l="1"/>
  <c r="AD6" i="1"/>
  <c r="AF5" i="1" l="1"/>
  <c r="AE6" i="1"/>
  <c r="Z9" i="1" l="1"/>
  <c r="AA9" i="1" l="1"/>
  <c r="Z10" i="1"/>
  <c r="AB9" i="1" l="1"/>
  <c r="AA10" i="1"/>
  <c r="AC9" i="1" l="1"/>
  <c r="AB10" i="1"/>
  <c r="AD9" i="1" l="1"/>
  <c r="AC10" i="1"/>
  <c r="AE9" i="1" l="1"/>
  <c r="AD10" i="1"/>
  <c r="AF9" i="1" l="1"/>
  <c r="AE10" i="1"/>
  <c r="Z13" i="1" l="1"/>
  <c r="AF10" i="1"/>
  <c r="AA13" i="1" l="1"/>
  <c r="Z14" i="1"/>
  <c r="AB13" i="1" l="1"/>
  <c r="AA14" i="1"/>
  <c r="AC13" i="1" l="1"/>
  <c r="AB14" i="1"/>
  <c r="AD13" i="1" l="1"/>
  <c r="AC14" i="1"/>
  <c r="AE13" i="1" l="1"/>
  <c r="AD14" i="1"/>
  <c r="AF13" i="1" l="1"/>
  <c r="AE14" i="1"/>
  <c r="Z17" i="1" l="1"/>
  <c r="AF14" i="1"/>
  <c r="AA17" i="1" l="1"/>
  <c r="Z18" i="1"/>
  <c r="AB17" i="1" l="1"/>
  <c r="AA18" i="1"/>
  <c r="AC17" i="1" l="1"/>
  <c r="AB18" i="1"/>
  <c r="AD17" i="1" l="1"/>
  <c r="AC18" i="1"/>
  <c r="AE17" i="1" l="1"/>
  <c r="AD18" i="1"/>
  <c r="AF17" i="1" l="1"/>
  <c r="AE18" i="1"/>
  <c r="Z21" i="1" l="1"/>
  <c r="AF18" i="1"/>
  <c r="AA21" i="1" l="1"/>
  <c r="Z22" i="1"/>
  <c r="AB21" i="1" l="1"/>
  <c r="AA22" i="1"/>
  <c r="AC21" i="1" l="1"/>
  <c r="AB22" i="1"/>
  <c r="AD21" i="1" l="1"/>
  <c r="AC22" i="1"/>
  <c r="AE21" i="1" l="1"/>
  <c r="AD22" i="1"/>
  <c r="AF21" i="1" l="1"/>
  <c r="AE22" i="1"/>
  <c r="Z25" i="1" l="1"/>
  <c r="AF22" i="1"/>
  <c r="AA25" i="1" l="1"/>
  <c r="Z26" i="1"/>
  <c r="AB25" i="1" l="1"/>
  <c r="AA26" i="1"/>
  <c r="AC25" i="1" l="1"/>
  <c r="AB26" i="1"/>
  <c r="AD25" i="1" l="1"/>
  <c r="AC26" i="1"/>
  <c r="AE25" i="1" l="1"/>
  <c r="AD26" i="1"/>
  <c r="AF25" i="1" l="1"/>
  <c r="AF26" i="1" s="1"/>
  <c r="AE26" i="1"/>
</calcChain>
</file>

<file path=xl/sharedStrings.xml><?xml version="1.0" encoding="utf-8"?>
<sst xmlns="http://schemas.openxmlformats.org/spreadsheetml/2006/main" count="201" uniqueCount="156">
  <si>
    <t>Dashboard</t>
  </si>
  <si>
    <t>LOANS</t>
  </si>
  <si>
    <t>Loans</t>
  </si>
  <si>
    <t>Payments</t>
  </si>
  <si>
    <t>Calendar</t>
  </si>
  <si>
    <t>Loan ID</t>
  </si>
  <si>
    <t>Loan Date</t>
  </si>
  <si>
    <t>Loan Amount</t>
  </si>
  <si>
    <t>Term (Years)</t>
  </si>
  <si>
    <t>Pay Frequency</t>
  </si>
  <si>
    <t>Sel. Loan ID</t>
  </si>
  <si>
    <t>Sel Loan Row</t>
  </si>
  <si>
    <t>Next Loan ID</t>
  </si>
  <si>
    <t>New Loan</t>
  </si>
  <si>
    <t>Number of Payments</t>
  </si>
  <si>
    <t>Total Payments</t>
  </si>
  <si>
    <t>Total Interest</t>
  </si>
  <si>
    <t>Total Estim. Interest</t>
  </si>
  <si>
    <t>Total Actual Interest</t>
  </si>
  <si>
    <t>Loan Name</t>
  </si>
  <si>
    <t>Loan Type:</t>
  </si>
  <si>
    <t>Fredders Loan</t>
  </si>
  <si>
    <t>Start Date</t>
  </si>
  <si>
    <t>Home Loan</t>
  </si>
  <si>
    <t>Car Loan</t>
  </si>
  <si>
    <t>Sel. Menu Row</t>
  </si>
  <si>
    <t>Estim. Payment Amt.</t>
  </si>
  <si>
    <t>B3</t>
  </si>
  <si>
    <t>I5</t>
  </si>
  <si>
    <t>L5</t>
  </si>
  <si>
    <t>I7</t>
  </si>
  <si>
    <t>Loan Amt.</t>
  </si>
  <si>
    <t>L7</t>
  </si>
  <si>
    <t>Annual Rate</t>
  </si>
  <si>
    <t>I9</t>
  </si>
  <si>
    <t>L9</t>
  </si>
  <si>
    <t>Pmnt. Freq.</t>
  </si>
  <si>
    <t>I11</t>
  </si>
  <si>
    <t>Terms Years</t>
  </si>
  <si>
    <t>L11</t>
  </si>
  <si>
    <t>Loan Details Database</t>
  </si>
  <si>
    <t>Pmnt. ID</t>
  </si>
  <si>
    <t>Date</t>
  </si>
  <si>
    <t>Payment Date</t>
  </si>
  <si>
    <t>Total Amount</t>
  </si>
  <si>
    <t>Principal</t>
  </si>
  <si>
    <t>Interest</t>
  </si>
  <si>
    <t>Principal Amt.</t>
  </si>
  <si>
    <t>Interest Amt</t>
  </si>
  <si>
    <t>Select Loan</t>
  </si>
  <si>
    <t>Payment Amount</t>
  </si>
  <si>
    <t>Notes</t>
  </si>
  <si>
    <t>Next Payment</t>
  </si>
  <si>
    <t>Start Day</t>
  </si>
  <si>
    <t>Monday</t>
  </si>
  <si>
    <t>Month</t>
  </si>
  <si>
    <t>Year</t>
  </si>
  <si>
    <t>Weekdays</t>
  </si>
  <si>
    <t>Tuesday</t>
  </si>
  <si>
    <t>Wednesday</t>
  </si>
  <si>
    <t>Thursday</t>
  </si>
  <si>
    <t>Friday</t>
  </si>
  <si>
    <t>Saturday</t>
  </si>
  <si>
    <t>Sunday</t>
  </si>
  <si>
    <t>1st Day Month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</si>
  <si>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</si>
  <si>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</si>
  <si>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</si>
  <si>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</si>
  <si>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</si>
  <si>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</si>
  <si>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</si>
  <si>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</si>
  <si>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</si>
  <si>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</si>
  <si>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</si>
  <si>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</si>
  <si>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</si>
  <si>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Years</t>
  </si>
  <si>
    <t>Frequency</t>
  </si>
  <si>
    <t>Payment Frequency Options</t>
  </si>
  <si>
    <t>Annual</t>
  </si>
  <si>
    <t>Semi-Annual</t>
  </si>
  <si>
    <t>Quarterly</t>
  </si>
  <si>
    <t>Bi-Monthly</t>
  </si>
  <si>
    <t>Monthly</t>
  </si>
  <si>
    <t>Semi-Monthly</t>
  </si>
  <si>
    <t>Bi-Weekly</t>
  </si>
  <si>
    <t>Weekly</t>
  </si>
  <si>
    <t>Annual # Pmnts</t>
  </si>
  <si>
    <t>Loan Taken</t>
  </si>
  <si>
    <t>Sel Loan ID DB Row</t>
  </si>
  <si>
    <t>Loan Name DB Row</t>
  </si>
  <si>
    <t>Pmnt Days</t>
  </si>
  <si>
    <t>Total Estim. Payments</t>
  </si>
  <si>
    <t>O5</t>
  </si>
  <si>
    <t>Sel Loan Pmnt Days</t>
  </si>
  <si>
    <t>Loan Load</t>
  </si>
  <si>
    <t>Annual Int. Rate</t>
  </si>
  <si>
    <t>Pmnt Loan Row</t>
  </si>
  <si>
    <t>Payment ID</t>
  </si>
  <si>
    <t>Payment DB Row</t>
  </si>
  <si>
    <t>Pay Amt.</t>
  </si>
  <si>
    <t>Interest Amt.</t>
  </si>
  <si>
    <t>Row</t>
  </si>
  <si>
    <t>Payment Loan ID</t>
  </si>
  <si>
    <t>B13</t>
  </si>
  <si>
    <t>W5</t>
  </si>
  <si>
    <t>S7</t>
  </si>
  <si>
    <t>U7</t>
  </si>
  <si>
    <t>W7</t>
  </si>
  <si>
    <t>Next Pmnt ID</t>
  </si>
  <si>
    <t>Pmnt Load</t>
  </si>
  <si>
    <t>Sel Loan Pmnts</t>
  </si>
  <si>
    <t>Interest Rate</t>
  </si>
  <si>
    <t>Prinicpal</t>
  </si>
  <si>
    <t>Total Loan Pmnts</t>
  </si>
  <si>
    <t>Total Previous Payments</t>
  </si>
  <si>
    <t>Total Principal</t>
  </si>
  <si>
    <t>Scheduled Payment Date</t>
  </si>
  <si>
    <t>Next Scheduled Payment</t>
  </si>
  <si>
    <t>Payment Period Days</t>
  </si>
  <si>
    <t># Of Previous Payments</t>
  </si>
  <si>
    <t>Next Pmnt</t>
  </si>
  <si>
    <t>L13</t>
  </si>
  <si>
    <t>Total Principal Applied</t>
  </si>
  <si>
    <t># Payments/Year</t>
  </si>
  <si>
    <t>I13</t>
  </si>
  <si>
    <t xml:space="preserve"> Payment #</t>
  </si>
  <si>
    <t>Pmrt Days</t>
  </si>
  <si>
    <t>B11</t>
  </si>
  <si>
    <r>
      <t xml:space="preserve">Payments     </t>
    </r>
    <r>
      <rPr>
        <b/>
        <sz val="12"/>
        <color theme="0"/>
        <rFont val="Calibri"/>
        <family val="2"/>
        <scheme val="minor"/>
      </rPr>
      <t>(Double Click To Edit)</t>
    </r>
  </si>
  <si>
    <t>Estim. Payment Amt</t>
  </si>
  <si>
    <t>Test</t>
  </si>
  <si>
    <t>Remaining Balance</t>
  </si>
  <si>
    <t>CRITERIA</t>
  </si>
  <si>
    <t>PAYMENTS DATABASE</t>
  </si>
  <si>
    <t>RESULTS</t>
  </si>
  <si>
    <t>S9</t>
  </si>
  <si>
    <t>Test Payment Notes 11-28</t>
  </si>
  <si>
    <t>Test 10-30 Payment</t>
  </si>
  <si>
    <t>Estimated Pmnt.</t>
  </si>
  <si>
    <t>Estimated Payment Amount</t>
  </si>
  <si>
    <t>Loaned Out</t>
  </si>
  <si>
    <t>Total Loaned Text</t>
  </si>
  <si>
    <t>Total Owed</t>
  </si>
  <si>
    <t>Interest Earned</t>
  </si>
  <si>
    <t>Interest Paid</t>
  </si>
  <si>
    <t>Loan Type</t>
  </si>
  <si>
    <t>Paid Extra</t>
  </si>
  <si>
    <t>Payment Made</t>
  </si>
  <si>
    <t>1st Payment</t>
  </si>
  <si>
    <t>Payment #33</t>
  </si>
  <si>
    <t>Visa Pmnt</t>
  </si>
  <si>
    <t>David's Loan</t>
  </si>
  <si>
    <t>Mike Loan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</si>
</sst>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76" formatCode="d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32E8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rgb="FF032E8F"/>
        </stop>
        <stop position="1">
          <color rgb="FF0446DA"/>
        </stop>
      </gradientFill>
    </fill>
    <fill>
      <patternFill patternType="solid">
        <fgColor theme="3" tint="0.59999389629810485"/>
        <bgColor indexed="64"/>
      </patternFill>
    </fill>
    <fill>
      <patternFill patternType="solid">
        <fgColor rgb="FF0446DA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rgb="FF0446DA"/>
        </stop>
        <stop position="1">
          <color rgb="FF0446DA"/>
        </stop>
      </gradient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rgb="FF032E8F"/>
      </bottom>
      <diagonal/>
    </border>
    <border>
      <left style="thin">
        <color rgb="FF032E8F"/>
      </left>
      <right style="hair">
        <color rgb="FF032E8F"/>
      </right>
      <top style="thin">
        <color rgb="FF032E8F"/>
      </top>
      <bottom style="thin">
        <color rgb="FF032E8F"/>
      </bottom>
      <diagonal/>
    </border>
    <border>
      <left style="hair">
        <color rgb="FF032E8F"/>
      </left>
      <right style="thin">
        <color rgb="FF032E8F"/>
      </right>
      <top style="thin">
        <color rgb="FF032E8F"/>
      </top>
      <bottom style="thin">
        <color rgb="FF032E8F"/>
      </bottom>
      <diagonal/>
    </border>
    <border>
      <left style="thin">
        <color rgb="FF032E8F"/>
      </left>
      <right style="thin">
        <color theme="0"/>
      </right>
      <top style="thin">
        <color rgb="FF032E8F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032E8F"/>
      </top>
      <bottom style="thin">
        <color theme="0"/>
      </bottom>
      <diagonal/>
    </border>
    <border>
      <left style="thin">
        <color theme="0"/>
      </left>
      <right style="thin">
        <color rgb="FF032E8F"/>
      </right>
      <top style="thin">
        <color rgb="FF032E8F"/>
      </top>
      <bottom style="thin">
        <color theme="0"/>
      </bottom>
      <diagonal/>
    </border>
    <border>
      <left style="thin">
        <color rgb="FF032E8F"/>
      </left>
      <right style="thin">
        <color theme="0"/>
      </right>
      <top style="thin">
        <color theme="0"/>
      </top>
      <bottom style="thin">
        <color rgb="FF032E8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32E8F"/>
      </bottom>
      <diagonal/>
    </border>
    <border>
      <left style="thin">
        <color theme="0"/>
      </left>
      <right style="thin">
        <color rgb="FF032E8F"/>
      </right>
      <top style="thin">
        <color theme="0"/>
      </top>
      <bottom style="thin">
        <color rgb="FF032E8F"/>
      </bottom>
      <diagonal/>
    </border>
    <border>
      <left/>
      <right/>
      <top style="thin">
        <color rgb="FF032E8F"/>
      </top>
      <bottom/>
      <diagonal/>
    </border>
    <border>
      <left style="hair">
        <color rgb="FF032E8F"/>
      </left>
      <right/>
      <top style="thin">
        <color rgb="FF032E8F"/>
      </top>
      <bottom style="thin">
        <color rgb="FF032E8F"/>
      </bottom>
      <diagonal/>
    </border>
    <border>
      <left/>
      <right/>
      <top style="thin">
        <color rgb="FF032E8F"/>
      </top>
      <bottom style="thin">
        <color rgb="FF032E8F"/>
      </bottom>
      <diagonal/>
    </border>
    <border>
      <left/>
      <right style="thin">
        <color rgb="FF032E8F"/>
      </right>
      <top style="thin">
        <color rgb="FF032E8F"/>
      </top>
      <bottom style="thin">
        <color rgb="FF032E8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rgb="FF032E8F"/>
      </right>
      <top style="thin">
        <color rgb="FF032E8F"/>
      </top>
      <bottom style="thin">
        <color rgb="FF032E8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32E8F"/>
      </left>
      <right style="thin">
        <color theme="0"/>
      </right>
      <top/>
      <bottom/>
      <diagonal/>
    </border>
    <border>
      <left style="thin">
        <color rgb="FF032E8F"/>
      </left>
      <right style="thin">
        <color rgb="FF032E8F"/>
      </right>
      <top style="medium">
        <color rgb="FF032E8F"/>
      </top>
      <bottom style="thin">
        <color rgb="FF032E8F"/>
      </bottom>
      <diagonal/>
    </border>
    <border>
      <left/>
      <right style="double">
        <color rgb="FF032E8F"/>
      </right>
      <top/>
      <bottom/>
      <diagonal/>
    </border>
    <border>
      <left/>
      <right style="double">
        <color rgb="FF032E8F"/>
      </right>
      <top style="thin">
        <color theme="0"/>
      </top>
      <bottom/>
      <diagonal/>
    </border>
    <border>
      <left/>
      <right/>
      <top style="medium">
        <color rgb="FF032E8F"/>
      </top>
      <bottom/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7" fillId="0" borderId="0" applyFill="0" applyProtection="0"/>
  </cellStyleXfs>
  <cellXfs count="12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4" fillId="4" borderId="0" xfId="0" applyFont="1" applyFill="1"/>
    <xf numFmtId="0" fontId="8" fillId="4" borderId="0" xfId="0" applyFont="1" applyFill="1"/>
    <xf numFmtId="0" fontId="7" fillId="0" borderId="0" xfId="0" applyFont="1"/>
    <xf numFmtId="0" fontId="5" fillId="5" borderId="1" xfId="0" applyFont="1" applyFill="1" applyBorder="1"/>
    <xf numFmtId="0" fontId="0" fillId="0" borderId="0" xfId="0" applyAlignment="1">
      <alignment horizontal="center"/>
    </xf>
    <xf numFmtId="0" fontId="7" fillId="2" borderId="0" xfId="0" applyFont="1" applyFill="1"/>
    <xf numFmtId="0" fontId="6" fillId="2" borderId="0" xfId="0" applyFont="1" applyFill="1"/>
    <xf numFmtId="0" fontId="7" fillId="8" borderId="4" xfId="0" applyFont="1" applyFill="1" applyBorder="1"/>
    <xf numFmtId="0" fontId="11" fillId="8" borderId="4" xfId="0" applyFont="1" applyFill="1" applyBorder="1" applyAlignment="1"/>
    <xf numFmtId="14" fontId="6" fillId="7" borderId="6" xfId="0" applyNumberFormat="1" applyFont="1" applyFill="1" applyBorder="1"/>
    <xf numFmtId="0" fontId="5" fillId="5" borderId="1" xfId="0" applyFont="1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15" fillId="8" borderId="7" xfId="0" applyFont="1" applyFill="1" applyBorder="1" applyAlignment="1">
      <alignment horizontal="center"/>
    </xf>
    <xf numFmtId="0" fontId="15" fillId="8" borderId="8" xfId="0" applyFont="1" applyFill="1" applyBorder="1" applyAlignment="1">
      <alignment horizontal="center"/>
    </xf>
    <xf numFmtId="0" fontId="15" fillId="8" borderId="9" xfId="0" applyFont="1" applyFill="1" applyBorder="1" applyAlignment="1">
      <alignment horizontal="center"/>
    </xf>
    <xf numFmtId="0" fontId="15" fillId="14" borderId="10" xfId="0" applyFont="1" applyFill="1" applyBorder="1" applyAlignment="1">
      <alignment horizontal="center"/>
    </xf>
    <xf numFmtId="0" fontId="15" fillId="14" borderId="11" xfId="0" applyFont="1" applyFill="1" applyBorder="1" applyAlignment="1">
      <alignment horizontal="center"/>
    </xf>
    <xf numFmtId="0" fontId="15" fillId="14" borderId="11" xfId="0" applyFont="1" applyFill="1" applyBorder="1" applyAlignment="1">
      <alignment horizontal="center"/>
    </xf>
    <xf numFmtId="0" fontId="15" fillId="14" borderId="12" xfId="0" applyFont="1" applyFill="1" applyBorder="1" applyAlignment="1">
      <alignment horizontal="center"/>
    </xf>
    <xf numFmtId="0" fontId="16" fillId="8" borderId="4" xfId="0" applyFont="1" applyFill="1" applyBorder="1"/>
    <xf numFmtId="0" fontId="3" fillId="4" borderId="0" xfId="0" applyFont="1" applyFill="1"/>
    <xf numFmtId="0" fontId="6" fillId="2" borderId="0" xfId="0" applyFont="1" applyFill="1" applyAlignment="1">
      <alignment horizontal="left"/>
    </xf>
    <xf numFmtId="0" fontId="6" fillId="7" borderId="14" xfId="0" applyFont="1" applyFill="1" applyBorder="1" applyAlignment="1">
      <alignment horizontal="left"/>
    </xf>
    <xf numFmtId="0" fontId="6" fillId="7" borderId="15" xfId="0" applyFont="1" applyFill="1" applyBorder="1" applyAlignment="1">
      <alignment horizontal="left"/>
    </xf>
    <xf numFmtId="0" fontId="6" fillId="7" borderId="16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right"/>
    </xf>
    <xf numFmtId="0" fontId="13" fillId="12" borderId="17" xfId="0" applyFont="1" applyFill="1" applyBorder="1" applyAlignment="1">
      <alignment horizontal="center"/>
    </xf>
    <xf numFmtId="0" fontId="13" fillId="12" borderId="18" xfId="0" applyFont="1" applyFill="1" applyBorder="1" applyAlignment="1">
      <alignment horizontal="center"/>
    </xf>
    <xf numFmtId="0" fontId="7" fillId="8" borderId="0" xfId="0" applyFont="1" applyFill="1" applyBorder="1"/>
    <xf numFmtId="0" fontId="6" fillId="2" borderId="20" xfId="0" applyFont="1" applyFill="1" applyBorder="1" applyAlignment="1">
      <alignment horizontal="right"/>
    </xf>
    <xf numFmtId="0" fontId="6" fillId="7" borderId="6" xfId="0" applyFont="1" applyFill="1" applyBorder="1" applyAlignment="1">
      <alignment horizontal="left"/>
    </xf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5" fillId="16" borderId="1" xfId="0" applyFont="1" applyFill="1" applyBorder="1"/>
    <xf numFmtId="0" fontId="5" fillId="17" borderId="1" xfId="0" applyFont="1" applyFill="1" applyBorder="1"/>
    <xf numFmtId="0" fontId="5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5" fillId="17" borderId="1" xfId="0" applyFont="1" applyFill="1" applyBorder="1" applyAlignment="1">
      <alignment horizontal="right"/>
    </xf>
    <xf numFmtId="14" fontId="5" fillId="17" borderId="1" xfId="0" applyNumberFormat="1" applyFont="1" applyFill="1" applyBorder="1"/>
    <xf numFmtId="0" fontId="5" fillId="16" borderId="1" xfId="0" applyFont="1" applyFill="1" applyBorder="1" applyAlignment="1">
      <alignment horizontal="center"/>
    </xf>
    <xf numFmtId="176" fontId="6" fillId="9" borderId="1" xfId="0" applyNumberFormat="1" applyFont="1" applyFill="1" applyBorder="1"/>
    <xf numFmtId="0" fontId="15" fillId="14" borderId="23" xfId="0" applyFont="1" applyFill="1" applyBorder="1" applyAlignment="1">
      <alignment horizontal="center"/>
    </xf>
    <xf numFmtId="0" fontId="7" fillId="2" borderId="24" xfId="0" applyFont="1" applyFill="1" applyBorder="1"/>
    <xf numFmtId="0" fontId="5" fillId="5" borderId="17" xfId="0" applyFont="1" applyFill="1" applyBorder="1" applyAlignment="1">
      <alignment horizontal="left"/>
    </xf>
    <xf numFmtId="0" fontId="8" fillId="4" borderId="0" xfId="0" applyFont="1" applyFill="1" applyBorder="1" applyAlignment="1">
      <alignment horizontal="left" indent="4"/>
    </xf>
    <xf numFmtId="0" fontId="6" fillId="2" borderId="0" xfId="0" applyFont="1" applyFill="1" applyAlignment="1">
      <alignment horizontal="right"/>
    </xf>
    <xf numFmtId="44" fontId="6" fillId="2" borderId="0" xfId="1" applyFont="1" applyFill="1" applyAlignment="1">
      <alignment horizontal="left"/>
    </xf>
    <xf numFmtId="0" fontId="8" fillId="4" borderId="0" xfId="0" applyFont="1" applyFill="1" applyBorder="1" applyAlignment="1">
      <alignment horizontal="left" indent="4"/>
    </xf>
    <xf numFmtId="0" fontId="16" fillId="4" borderId="4" xfId="0" applyFont="1" applyFill="1" applyBorder="1"/>
    <xf numFmtId="0" fontId="2" fillId="10" borderId="25" xfId="0" applyFont="1" applyFill="1" applyBorder="1"/>
    <xf numFmtId="0" fontId="12" fillId="10" borderId="25" xfId="0" applyFont="1" applyFill="1" applyBorder="1" applyAlignment="1">
      <alignment horizontal="center"/>
    </xf>
    <xf numFmtId="10" fontId="6" fillId="7" borderId="6" xfId="2" applyNumberFormat="1" applyFont="1" applyFill="1" applyBorder="1" applyAlignment="1">
      <alignment horizontal="left"/>
    </xf>
    <xf numFmtId="14" fontId="6" fillId="7" borderId="6" xfId="0" applyNumberFormat="1" applyFont="1" applyFill="1" applyBorder="1" applyAlignment="1">
      <alignment horizontal="left"/>
    </xf>
    <xf numFmtId="0" fontId="9" fillId="22" borderId="1" xfId="3" applyFill="1" applyBorder="1" applyAlignment="1" applyProtection="1">
      <alignment horizontal="center"/>
    </xf>
    <xf numFmtId="0" fontId="9" fillId="22" borderId="1" xfId="3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9" fillId="22" borderId="1" xfId="3" applyFont="1" applyFill="1" applyBorder="1" applyAlignment="1" applyProtection="1">
      <alignment horizontal="center"/>
    </xf>
    <xf numFmtId="0" fontId="5" fillId="11" borderId="1" xfId="0" applyFont="1" applyFill="1" applyBorder="1" applyAlignment="1">
      <alignment horizontal="right"/>
    </xf>
    <xf numFmtId="0" fontId="5" fillId="11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right"/>
    </xf>
    <xf numFmtId="7" fontId="0" fillId="0" borderId="0" xfId="0" applyNumberFormat="1"/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7" fontId="6" fillId="7" borderId="6" xfId="1" applyNumberFormat="1" applyFont="1" applyFill="1" applyBorder="1" applyAlignment="1">
      <alignment horizontal="left"/>
    </xf>
    <xf numFmtId="0" fontId="18" fillId="5" borderId="0" xfId="0" applyFont="1" applyFill="1"/>
    <xf numFmtId="0" fontId="0" fillId="3" borderId="1" xfId="0" applyFill="1" applyBorder="1"/>
    <xf numFmtId="0" fontId="0" fillId="18" borderId="1" xfId="0" applyFill="1" applyBorder="1" applyAlignment="1">
      <alignment horizontal="center"/>
    </xf>
    <xf numFmtId="0" fontId="5" fillId="11" borderId="19" xfId="0" applyFont="1" applyFill="1" applyBorder="1" applyAlignment="1">
      <alignment horizontal="right"/>
    </xf>
    <xf numFmtId="0" fontId="0" fillId="11" borderId="1" xfId="0" applyFill="1" applyBorder="1" applyAlignment="1">
      <alignment horizontal="left"/>
    </xf>
    <xf numFmtId="0" fontId="0" fillId="11" borderId="1" xfId="0" applyFill="1" applyBorder="1" applyAlignment="1">
      <alignment horizontal="right"/>
    </xf>
    <xf numFmtId="8" fontId="0" fillId="11" borderId="1" xfId="0" applyNumberFormat="1" applyFill="1" applyBorder="1" applyAlignment="1">
      <alignment horizontal="left"/>
    </xf>
    <xf numFmtId="0" fontId="6" fillId="2" borderId="0" xfId="0" applyFont="1" applyFill="1" applyAlignment="1">
      <alignment horizontal="right"/>
    </xf>
    <xf numFmtId="14" fontId="6" fillId="2" borderId="0" xfId="0" applyNumberFormat="1" applyFont="1" applyFill="1" applyAlignment="1">
      <alignment horizontal="left"/>
    </xf>
    <xf numFmtId="7" fontId="6" fillId="2" borderId="6" xfId="1" applyNumberFormat="1" applyFont="1" applyFill="1" applyBorder="1"/>
    <xf numFmtId="0" fontId="14" fillId="2" borderId="27" xfId="0" applyFont="1" applyFill="1" applyBorder="1" applyAlignment="1">
      <alignment horizontal="right"/>
    </xf>
    <xf numFmtId="8" fontId="7" fillId="2" borderId="0" xfId="0" applyNumberFormat="1" applyFont="1" applyFill="1"/>
    <xf numFmtId="14" fontId="6" fillId="2" borderId="6" xfId="0" applyNumberFormat="1" applyFont="1" applyFill="1" applyBorder="1" applyAlignment="1">
      <alignment horizontal="left"/>
    </xf>
    <xf numFmtId="44" fontId="6" fillId="2" borderId="0" xfId="1" applyFont="1" applyFill="1" applyAlignment="1">
      <alignment horizontal="right"/>
    </xf>
    <xf numFmtId="44" fontId="6" fillId="2" borderId="0" xfId="1" applyNumberFormat="1" applyFont="1" applyFill="1" applyAlignment="1">
      <alignment horizontal="right"/>
    </xf>
    <xf numFmtId="0" fontId="6" fillId="2" borderId="0" xfId="0" applyFont="1" applyFill="1" applyAlignment="1">
      <alignment horizontal="right" indent="1"/>
    </xf>
    <xf numFmtId="0" fontId="5" fillId="6" borderId="21" xfId="0" applyFont="1" applyFill="1" applyBorder="1"/>
    <xf numFmtId="0" fontId="5" fillId="6" borderId="19" xfId="0" applyFont="1" applyFill="1" applyBorder="1"/>
    <xf numFmtId="0" fontId="5" fillId="6" borderId="22" xfId="0" applyFont="1" applyFill="1" applyBorder="1"/>
    <xf numFmtId="8" fontId="6" fillId="2" borderId="0" xfId="1" applyNumberFormat="1" applyFont="1" applyFill="1" applyAlignment="1">
      <alignment horizontal="right"/>
    </xf>
    <xf numFmtId="8" fontId="0" fillId="11" borderId="0" xfId="0" applyNumberFormat="1" applyFill="1" applyAlignment="1">
      <alignment horizontal="left"/>
    </xf>
    <xf numFmtId="0" fontId="3" fillId="23" borderId="2" xfId="0" applyFont="1" applyFill="1" applyBorder="1" applyAlignment="1">
      <alignment horizontal="center"/>
    </xf>
    <xf numFmtId="14" fontId="0" fillId="2" borderId="0" xfId="0" applyNumberFormat="1" applyFill="1" applyAlignment="1">
      <alignment horizontal="right"/>
    </xf>
    <xf numFmtId="7" fontId="0" fillId="2" borderId="0" xfId="0" applyNumberFormat="1" applyFill="1" applyAlignment="1">
      <alignment horizontal="right"/>
    </xf>
    <xf numFmtId="7" fontId="0" fillId="2" borderId="13" xfId="0" applyNumberFormat="1" applyFill="1" applyBorder="1" applyAlignment="1">
      <alignment horizontal="right"/>
    </xf>
    <xf numFmtId="7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20" fillId="2" borderId="0" xfId="0" applyFont="1" applyFill="1" applyAlignment="1">
      <alignment horizontal="center"/>
    </xf>
    <xf numFmtId="7" fontId="6" fillId="7" borderId="6" xfId="1" applyNumberFormat="1" applyFont="1" applyFill="1" applyBorder="1"/>
    <xf numFmtId="0" fontId="11" fillId="10" borderId="26" xfId="0" applyFont="1" applyFill="1" applyBorder="1" applyAlignment="1">
      <alignment horizontal="left"/>
    </xf>
    <xf numFmtId="0" fontId="11" fillId="10" borderId="25" xfId="0" applyFont="1" applyFill="1" applyBorder="1" applyAlignment="1">
      <alignment horizontal="left"/>
    </xf>
    <xf numFmtId="0" fontId="2" fillId="10" borderId="25" xfId="0" applyFont="1" applyFill="1" applyBorder="1" applyAlignment="1">
      <alignment horizontal="left"/>
    </xf>
    <xf numFmtId="44" fontId="6" fillId="2" borderId="0" xfId="1" applyNumberFormat="1" applyFont="1" applyFill="1"/>
    <xf numFmtId="0" fontId="0" fillId="0" borderId="0" xfId="0" applyAlignment="1">
      <alignment horizontal="left"/>
    </xf>
    <xf numFmtId="0" fontId="10" fillId="20" borderId="1" xfId="3" applyFont="1" applyFill="1" applyBorder="1" applyAlignment="1" applyProtection="1">
      <alignment horizontal="center"/>
    </xf>
    <xf numFmtId="0" fontId="9" fillId="21" borderId="1" xfId="3" applyFill="1" applyBorder="1" applyAlignment="1">
      <alignment horizontal="right"/>
    </xf>
    <xf numFmtId="0" fontId="0" fillId="21" borderId="1" xfId="0" applyFill="1" applyBorder="1"/>
    <xf numFmtId="0" fontId="0" fillId="15" borderId="1" xfId="0" applyFill="1" applyBorder="1"/>
    <xf numFmtId="0" fontId="0" fillId="15" borderId="1" xfId="0" applyFill="1" applyBorder="1" applyAlignment="1">
      <alignment horizontal="right"/>
    </xf>
    <xf numFmtId="0" fontId="3" fillId="23" borderId="3" xfId="0" applyFont="1" applyFill="1" applyBorder="1" applyAlignment="1">
      <alignment horizontal="center"/>
    </xf>
    <xf numFmtId="0" fontId="3" fillId="23" borderId="0" xfId="0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7" fontId="0" fillId="0" borderId="0" xfId="0" applyNumberFormat="1"/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3" fillId="23" borderId="1" xfId="0" applyFont="1" applyFill="1" applyBorder="1" applyAlignment="1">
      <alignment horizontal="center"/>
    </xf>
    <xf numFmtId="14" fontId="0" fillId="2" borderId="0" xfId="0" applyNumberFormat="1" applyFill="1" applyAlignment="1">
      <alignment horizontal="right"/>
    </xf>
    <xf numFmtId="7" fontId="0" fillId="2" borderId="0" xfId="0" applyNumberFormat="1" applyFill="1" applyAlignment="1">
      <alignment horizontal="right"/>
    </xf>
    <xf numFmtId="0" fontId="0" fillId="0" borderId="0" xfId="0" applyAlignment="1">
      <alignment horizontal="left"/>
    </xf>
    <xf numFmtId="7" fontId="6" fillId="2" borderId="6" xfId="0" applyNumberFormat="1" applyFont="1" applyFill="1" applyBorder="1" applyAlignment="1">
      <alignment horizontal="left"/>
    </xf>
    <xf numFmtId="7" fontId="0" fillId="0" borderId="0" xfId="0" applyNumberFormat="1" applyAlignment="1"/>
    <xf numFmtId="8" fontId="0" fillId="0" borderId="0" xfId="0" applyNumberFormat="1" applyAlignment="1"/>
    <xf numFmtId="0" fontId="0" fillId="0" borderId="0" xfId="0" applyAlignment="1"/>
  </cellXfs>
  <cellStyles count="7">
    <cellStyle name="Currency" xfId="1" builtinId="4"/>
    <cellStyle name="Currency 2" xfId="4"/>
    <cellStyle name="Normal" xfId="0" builtinId="0"/>
    <cellStyle name="Normal 2" xfId="3"/>
    <cellStyle name="Normal 2 2" xfId="6"/>
    <cellStyle name="Percent" xfId="2" builtinId="5"/>
    <cellStyle name="Percent 2" xfId="5"/>
  </cellStyles>
  <dxfs count="9">
    <dxf>
      <fill>
        <gradientFill degree="90">
          <stop position="0">
            <color rgb="FFD3E2F5"/>
          </stop>
          <stop position="1">
            <color rgb="FFD3E2F5"/>
          </stop>
        </gradientFill>
      </fill>
    </dxf>
    <dxf>
      <fill>
        <gradientFill degree="90">
          <stop position="0">
            <color rgb="FFE7EFF9"/>
          </stop>
          <stop position="1">
            <color rgb="FFE7EFF9"/>
          </stop>
        </gradientFill>
      </fill>
    </dxf>
    <dxf>
      <font>
        <b/>
        <i val="0"/>
      </font>
      <fill>
        <patternFill>
          <bgColor theme="6" tint="0.59996337778862885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gradientFill degree="90">
          <stop position="0">
            <color rgb="FFD3E2F5"/>
          </stop>
          <stop position="1">
            <color rgb="FFD3E2F5"/>
          </stop>
        </gradientFill>
      </fill>
    </dxf>
    <dxf>
      <fill>
        <patternFill>
          <bgColor rgb="FFD3E2F5"/>
        </patternFill>
      </fill>
    </dxf>
    <dxf>
      <font>
        <b val="0"/>
        <i val="0"/>
        <color theme="0"/>
      </font>
      <fill>
        <gradientFill>
          <stop position="0">
            <color rgb="FF032E8F"/>
          </stop>
          <stop position="1">
            <color rgb="FF0446DA"/>
          </stop>
        </gradientFill>
      </fill>
      <border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ont>
        <b/>
        <i val="0"/>
        <color auto="1"/>
      </font>
      <fill>
        <gradientFill>
          <stop position="0">
            <color theme="3" tint="0.59999389629810485"/>
          </stop>
          <stop position="1">
            <color theme="3" tint="0.80001220740379042"/>
          </stop>
        </gradientFill>
      </fill>
      <border>
        <right/>
      </border>
    </dxf>
  </dxfs>
  <tableStyles count="0" defaultTableStyle="TableStyleMedium2" defaultPivotStyle="PivotStyleLight16"/>
  <colors>
    <mruColors>
      <color rgb="FFE7EFF9"/>
      <color rgb="FFD3E2F5"/>
      <color rgb="FF032E8F"/>
      <color rgb="FFFFFF99"/>
      <color rgb="FF0446D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hyperlink" Target="http://bit.ly/MentorshipProgram_WkbkAd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32</xdr:col>
      <xdr:colOff>800100</xdr:colOff>
      <xdr:row>11</xdr:row>
      <xdr:rowOff>76200</xdr:rowOff>
    </xdr:to>
    <xdr:grpSp>
      <xdr:nvGrpSpPr>
        <xdr:cNvPr id="62" name="LoanGrp" hidden="1"/>
        <xdr:cNvGrpSpPr/>
      </xdr:nvGrpSpPr>
      <xdr:grpSpPr>
        <a:xfrm>
          <a:off x="3495675" y="0"/>
          <a:ext cx="10858500" cy="3524250"/>
          <a:chOff x="3429000" y="0"/>
          <a:chExt cx="10858500" cy="3524250"/>
        </a:xfrm>
      </xdr:grpSpPr>
      <xdr:pic>
        <xdr:nvPicPr>
          <xdr:cNvPr id="19" name="Picture 18" hidden="1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97508" y="523876"/>
            <a:ext cx="419359" cy="419100"/>
          </a:xfrm>
          <a:prstGeom prst="rect">
            <a:avLst/>
          </a:prstGeom>
        </xdr:spPr>
      </xdr:pic>
      <xdr:sp macro="" textlink="">
        <xdr:nvSpPr>
          <xdr:cNvPr id="20" name="TextBox 19" hidden="1"/>
          <xdr:cNvSpPr txBox="1"/>
        </xdr:nvSpPr>
        <xdr:spPr>
          <a:xfrm>
            <a:off x="3429000" y="0"/>
            <a:ext cx="10769906" cy="42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500">
                <a:solidFill>
                  <a:schemeClr val="bg1"/>
                </a:solidFill>
                <a:latin typeface="Arial Rounded MT Bold" panose="020F0704030504030204" pitchFamily="34" charset="0"/>
              </a:rPr>
              <a:t>LOAN MANAGER</a:t>
            </a:r>
          </a:p>
        </xdr:txBody>
      </xdr:sp>
      <xdr:sp macro="" textlink="">
        <xdr:nvSpPr>
          <xdr:cNvPr id="21" name="TextBox 20" hidden="1"/>
          <xdr:cNvSpPr txBox="1"/>
        </xdr:nvSpPr>
        <xdr:spPr>
          <a:xfrm>
            <a:off x="3457593" y="523875"/>
            <a:ext cx="10760375" cy="42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500">
                <a:solidFill>
                  <a:schemeClr val="bg1"/>
                </a:solidFill>
                <a:latin typeface="Arial Rounded MT Bold" panose="020F0704030504030204" pitchFamily="34" charset="0"/>
              </a:rPr>
              <a:t>LOAN DETAILS</a:t>
            </a:r>
          </a:p>
        </xdr:txBody>
      </xdr:sp>
      <xdr:sp macro="" textlink="">
        <xdr:nvSpPr>
          <xdr:cNvPr id="22" name="Rounded Rectangle 21" hidden="1"/>
          <xdr:cNvSpPr/>
        </xdr:nvSpPr>
        <xdr:spPr>
          <a:xfrm>
            <a:off x="11001375" y="1524000"/>
            <a:ext cx="3286125" cy="2000250"/>
          </a:xfrm>
          <a:prstGeom prst="roundRect">
            <a:avLst>
              <a:gd name="adj" fmla="val 4868"/>
            </a:avLst>
          </a:prstGeom>
          <a:noFill/>
          <a:ln>
            <a:solidFill>
              <a:srgbClr val="032E8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TextBox 22" hidden="1"/>
          <xdr:cNvSpPr txBox="1"/>
        </xdr:nvSpPr>
        <xdr:spPr>
          <a:xfrm>
            <a:off x="11253861" y="1411543"/>
            <a:ext cx="1509639" cy="219456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rgbClr val="032E8F"/>
                </a:solidFill>
              </a:rPr>
              <a:t>LOAN</a:t>
            </a:r>
            <a:r>
              <a:rPr lang="en-US" sz="1400" b="1" baseline="0">
                <a:solidFill>
                  <a:srgbClr val="032E8F"/>
                </a:solidFill>
              </a:rPr>
              <a:t> SUMMARY</a:t>
            </a:r>
            <a:endParaRPr lang="en-US" sz="1400" b="1">
              <a:solidFill>
                <a:srgbClr val="032E8F"/>
              </a:solidFill>
            </a:endParaRPr>
          </a:p>
        </xdr:txBody>
      </xdr:sp>
      <xdr:grpSp>
        <xdr:nvGrpSpPr>
          <xdr:cNvPr id="32" name="Group 31" hidden="1"/>
          <xdr:cNvGrpSpPr/>
        </xdr:nvGrpSpPr>
        <xdr:grpSpPr>
          <a:xfrm>
            <a:off x="6173888" y="1153526"/>
            <a:ext cx="1350858" cy="285750"/>
            <a:chOff x="11479897" y="1171575"/>
            <a:chExt cx="1362640" cy="285750"/>
          </a:xfrm>
        </xdr:grpSpPr>
        <xdr:sp macro="[0]!Loan_New" textlink="">
          <xdr:nvSpPr>
            <xdr:cNvPr id="24" name="Rectangle 23" hidden="1"/>
            <xdr:cNvSpPr/>
          </xdr:nvSpPr>
          <xdr:spPr>
            <a:xfrm>
              <a:off x="11479897" y="1171575"/>
              <a:ext cx="1362640" cy="285750"/>
            </a:xfrm>
            <a:prstGeom prst="rect">
              <a:avLst/>
            </a:prstGeom>
            <a:solidFill>
              <a:srgbClr val="032E8F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300" b="1">
                  <a:solidFill>
                    <a:schemeClr val="bg1"/>
                  </a:solidFill>
                </a:rPr>
                <a:t>Add New Loan</a:t>
              </a:r>
              <a:r>
                <a:rPr lang="en-US" sz="1300" b="1" baseline="0">
                  <a:solidFill>
                    <a:schemeClr val="bg1"/>
                  </a:solidFill>
                </a:rPr>
                <a:t> </a:t>
              </a:r>
              <a:endParaRPr lang="en-US" sz="1300" b="1">
                <a:solidFill>
                  <a:schemeClr val="bg1"/>
                </a:solidFill>
              </a:endParaRPr>
            </a:p>
          </xdr:txBody>
        </xdr:sp>
        <xdr:pic macro="[0]!Loan_New">
          <xdr:nvPicPr>
            <xdr:cNvPr id="27" name="Picture 26" hidden="1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489837" y="1200150"/>
              <a:ext cx="228600" cy="228600"/>
            </a:xfrm>
            <a:prstGeom prst="rect">
              <a:avLst/>
            </a:prstGeom>
          </xdr:spPr>
        </xdr:pic>
      </xdr:grpSp>
      <xdr:grpSp>
        <xdr:nvGrpSpPr>
          <xdr:cNvPr id="31" name="Group 30" hidden="1"/>
          <xdr:cNvGrpSpPr/>
        </xdr:nvGrpSpPr>
        <xdr:grpSpPr>
          <a:xfrm>
            <a:off x="7767956" y="1153526"/>
            <a:ext cx="1633218" cy="285750"/>
            <a:chOff x="13581348" y="1181100"/>
            <a:chExt cx="1579738" cy="285750"/>
          </a:xfrm>
        </xdr:grpSpPr>
        <xdr:sp macro="[0]!Loan_SaveUpdate" textlink="">
          <xdr:nvSpPr>
            <xdr:cNvPr id="25" name="Rectangle 24" hidden="1"/>
            <xdr:cNvSpPr/>
          </xdr:nvSpPr>
          <xdr:spPr>
            <a:xfrm>
              <a:off x="13581348" y="1181100"/>
              <a:ext cx="1579738" cy="285750"/>
            </a:xfrm>
            <a:prstGeom prst="rect">
              <a:avLst/>
            </a:prstGeom>
            <a:solidFill>
              <a:srgbClr val="032E8F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300" b="1">
                  <a:solidFill>
                    <a:schemeClr val="bg1"/>
                  </a:solidFill>
                </a:rPr>
                <a:t>Save/Update</a:t>
              </a:r>
              <a:r>
                <a:rPr lang="en-US" sz="1300" b="1" baseline="0">
                  <a:solidFill>
                    <a:schemeClr val="bg1"/>
                  </a:solidFill>
                </a:rPr>
                <a:t> </a:t>
              </a:r>
              <a:r>
                <a:rPr lang="en-US" sz="1300" b="1">
                  <a:solidFill>
                    <a:schemeClr val="bg1"/>
                  </a:solidFill>
                </a:rPr>
                <a:t>Loan</a:t>
              </a:r>
            </a:p>
          </xdr:txBody>
        </xdr:sp>
        <xdr:pic macro="[0]!Loan_SaveUpdate">
          <xdr:nvPicPr>
            <xdr:cNvPr id="28" name="Picture 27" hidden="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13262" t="18405" r="14622" b="9049"/>
            <a:stretch/>
          </xdr:blipFill>
          <xdr:spPr>
            <a:xfrm>
              <a:off x="13620608" y="1232117"/>
              <a:ext cx="225255" cy="228354"/>
            </a:xfrm>
            <a:prstGeom prst="rect">
              <a:avLst/>
            </a:prstGeom>
          </xdr:spPr>
        </xdr:pic>
      </xdr:grpSp>
      <xdr:pic>
        <xdr:nvPicPr>
          <xdr:cNvPr id="56" name="Picture 55" hidden="1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62600" y="0"/>
            <a:ext cx="606239" cy="6096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652464</xdr:colOff>
      <xdr:row>0</xdr:row>
      <xdr:rowOff>9525</xdr:rowOff>
    </xdr:from>
    <xdr:to>
      <xdr:col>23</xdr:col>
      <xdr:colOff>104776</xdr:colOff>
      <xdr:row>3</xdr:row>
      <xdr:rowOff>159844</xdr:rowOff>
    </xdr:to>
    <xdr:grpSp>
      <xdr:nvGrpSpPr>
        <xdr:cNvPr id="59" name="PmntsGrp" hidden="1"/>
        <xdr:cNvGrpSpPr/>
      </xdr:nvGrpSpPr>
      <xdr:grpSpPr>
        <a:xfrm>
          <a:off x="13554075" y="9525"/>
          <a:ext cx="0" cy="1464769"/>
          <a:chOff x="4081463" y="9525"/>
          <a:chExt cx="6631162" cy="1464769"/>
        </a:xfrm>
      </xdr:grpSpPr>
      <xdr:sp macro="" textlink="">
        <xdr:nvSpPr>
          <xdr:cNvPr id="33" name="TextBox 32" hidden="1"/>
          <xdr:cNvSpPr txBox="1"/>
        </xdr:nvSpPr>
        <xdr:spPr>
          <a:xfrm>
            <a:off x="4267391" y="57150"/>
            <a:ext cx="6257062" cy="42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500">
                <a:solidFill>
                  <a:schemeClr val="bg1"/>
                </a:solidFill>
                <a:latin typeface="Arial Rounded MT Bold" panose="020F0704030504030204" pitchFamily="34" charset="0"/>
              </a:rPr>
              <a:t>LOAN MANAGER</a:t>
            </a:r>
          </a:p>
        </xdr:txBody>
      </xdr:sp>
      <xdr:sp macro="" textlink="">
        <xdr:nvSpPr>
          <xdr:cNvPr id="34" name="TextBox 33" hidden="1"/>
          <xdr:cNvSpPr txBox="1"/>
        </xdr:nvSpPr>
        <xdr:spPr>
          <a:xfrm>
            <a:off x="4081463" y="628650"/>
            <a:ext cx="6631162" cy="42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500">
                <a:solidFill>
                  <a:schemeClr val="bg1"/>
                </a:solidFill>
                <a:latin typeface="Arial Rounded MT Bold" panose="020F0704030504030204" pitchFamily="34" charset="0"/>
              </a:rPr>
              <a:t>PAYMENTS</a:t>
            </a:r>
          </a:p>
        </xdr:txBody>
      </xdr:sp>
      <xdr:grpSp>
        <xdr:nvGrpSpPr>
          <xdr:cNvPr id="36" name="Group 35" hidden="1"/>
          <xdr:cNvGrpSpPr/>
        </xdr:nvGrpSpPr>
        <xdr:grpSpPr>
          <a:xfrm>
            <a:off x="4939790" y="1188544"/>
            <a:ext cx="1250889" cy="285750"/>
            <a:chOff x="13420724" y="1143000"/>
            <a:chExt cx="1261900" cy="285750"/>
          </a:xfrm>
        </xdr:grpSpPr>
        <xdr:sp macro="[0]!Payment_New" textlink="">
          <xdr:nvSpPr>
            <xdr:cNvPr id="37" name="Rectangle 36" hidden="1"/>
            <xdr:cNvSpPr/>
          </xdr:nvSpPr>
          <xdr:spPr>
            <a:xfrm>
              <a:off x="13420724" y="1143000"/>
              <a:ext cx="1261900" cy="285750"/>
            </a:xfrm>
            <a:prstGeom prst="rect">
              <a:avLst/>
            </a:prstGeom>
            <a:solidFill>
              <a:srgbClr val="032E8F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300" b="1">
                  <a:solidFill>
                    <a:schemeClr val="bg1"/>
                  </a:solidFill>
                </a:rPr>
                <a:t>Add</a:t>
              </a:r>
              <a:r>
                <a:rPr lang="en-US" sz="1300" b="1" baseline="0">
                  <a:solidFill>
                    <a:schemeClr val="bg1"/>
                  </a:solidFill>
                </a:rPr>
                <a:t> Payment</a:t>
              </a:r>
              <a:endParaRPr lang="en-US" sz="1300" b="1">
                <a:solidFill>
                  <a:schemeClr val="bg1"/>
                </a:solidFill>
              </a:endParaRPr>
            </a:p>
          </xdr:txBody>
        </xdr:sp>
        <xdr:pic macro="[0]!Payment_New">
          <xdr:nvPicPr>
            <xdr:cNvPr id="38" name="Picture 37" hidden="1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430664" y="1171575"/>
              <a:ext cx="228600" cy="228600"/>
            </a:xfrm>
            <a:prstGeom prst="rect">
              <a:avLst/>
            </a:prstGeom>
          </xdr:spPr>
        </xdr:pic>
      </xdr:grpSp>
      <xdr:grpSp>
        <xdr:nvGrpSpPr>
          <xdr:cNvPr id="39" name="Group 38" hidden="1"/>
          <xdr:cNvGrpSpPr/>
        </xdr:nvGrpSpPr>
        <xdr:grpSpPr>
          <a:xfrm>
            <a:off x="6549941" y="1188544"/>
            <a:ext cx="1211569" cy="285750"/>
            <a:chOff x="14659608" y="1152525"/>
            <a:chExt cx="1183713" cy="285750"/>
          </a:xfrm>
        </xdr:grpSpPr>
        <xdr:sp macro="[0]!Payment_Save" textlink="">
          <xdr:nvSpPr>
            <xdr:cNvPr id="40" name="Rectangle 39" hidden="1"/>
            <xdr:cNvSpPr/>
          </xdr:nvSpPr>
          <xdr:spPr>
            <a:xfrm>
              <a:off x="14659608" y="1152525"/>
              <a:ext cx="1183713" cy="285750"/>
            </a:xfrm>
            <a:prstGeom prst="rect">
              <a:avLst/>
            </a:prstGeom>
            <a:solidFill>
              <a:srgbClr val="032E8F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300" b="1">
                  <a:solidFill>
                    <a:schemeClr val="bg1"/>
                  </a:solidFill>
                </a:rPr>
                <a:t>Save/Update</a:t>
              </a:r>
            </a:p>
          </xdr:txBody>
        </xdr:sp>
        <xdr:pic macro="[0]!Payment_Save">
          <xdr:nvPicPr>
            <xdr:cNvPr id="41" name="Picture 40" hidden="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13262" t="18405" r="14622" b="9049"/>
            <a:stretch/>
          </xdr:blipFill>
          <xdr:spPr>
            <a:xfrm>
              <a:off x="14698867" y="1174967"/>
              <a:ext cx="225255" cy="228354"/>
            </a:xfrm>
            <a:prstGeom prst="rect">
              <a:avLst/>
            </a:prstGeom>
          </xdr:spPr>
        </xdr:pic>
      </xdr:grpSp>
      <xdr:grpSp>
        <xdr:nvGrpSpPr>
          <xdr:cNvPr id="42" name="Group 41" hidden="1"/>
          <xdr:cNvGrpSpPr/>
        </xdr:nvGrpSpPr>
        <xdr:grpSpPr>
          <a:xfrm>
            <a:off x="8229662" y="1188544"/>
            <a:ext cx="1422678" cy="285750"/>
            <a:chOff x="16116301" y="1190625"/>
            <a:chExt cx="1403275" cy="285750"/>
          </a:xfrm>
        </xdr:grpSpPr>
        <xdr:sp macro="[0]!Payment_Delete" textlink="">
          <xdr:nvSpPr>
            <xdr:cNvPr id="43" name="Rectangle 42" hidden="1"/>
            <xdr:cNvSpPr/>
          </xdr:nvSpPr>
          <xdr:spPr>
            <a:xfrm>
              <a:off x="16116301" y="1190625"/>
              <a:ext cx="1403275" cy="285750"/>
            </a:xfrm>
            <a:prstGeom prst="rect">
              <a:avLst/>
            </a:prstGeom>
            <a:solidFill>
              <a:srgbClr val="032E8F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300" b="1">
                  <a:solidFill>
                    <a:schemeClr val="bg1"/>
                  </a:solidFill>
                </a:rPr>
                <a:t>Delete</a:t>
              </a:r>
              <a:r>
                <a:rPr lang="en-US" sz="1300" b="1" baseline="0">
                  <a:solidFill>
                    <a:schemeClr val="bg1"/>
                  </a:solidFill>
                </a:rPr>
                <a:t> Payment</a:t>
              </a:r>
              <a:endParaRPr lang="en-US" sz="1300" b="1">
                <a:solidFill>
                  <a:schemeClr val="bg1"/>
                </a:solidFill>
              </a:endParaRPr>
            </a:p>
          </xdr:txBody>
        </xdr:sp>
        <xdr:pic macro="[0]!Payment_Delete">
          <xdr:nvPicPr>
            <xdr:cNvPr id="44" name="Picture 43" hidden="1"/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6178589" y="1219200"/>
              <a:ext cx="227871" cy="228600"/>
            </a:xfrm>
            <a:prstGeom prst="rect">
              <a:avLst/>
            </a:prstGeom>
          </xdr:spPr>
        </xdr:pic>
      </xdr:grpSp>
      <xdr:pic>
        <xdr:nvPicPr>
          <xdr:cNvPr id="52" name="Picture 51" hidden="1"/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10250" y="619125"/>
            <a:ext cx="468634" cy="468634"/>
          </a:xfrm>
          <a:prstGeom prst="rect">
            <a:avLst/>
          </a:prstGeom>
        </xdr:spPr>
      </xdr:pic>
      <xdr:pic>
        <xdr:nvPicPr>
          <xdr:cNvPr id="58" name="Picture 57" hidden="1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50" y="9525"/>
            <a:ext cx="606239" cy="609600"/>
          </a:xfrm>
          <a:prstGeom prst="rect">
            <a:avLst/>
          </a:prstGeom>
        </xdr:spPr>
      </xdr:pic>
    </xdr:grpSp>
    <xdr:clientData/>
  </xdr:twoCellAnchor>
  <xdr:twoCellAnchor editAs="oneCell">
    <xdr:from>
      <xdr:col>25</xdr:col>
      <xdr:colOff>19050</xdr:colOff>
      <xdr:row>0</xdr:row>
      <xdr:rowOff>0</xdr:rowOff>
    </xdr:from>
    <xdr:to>
      <xdr:col>35</xdr:col>
      <xdr:colOff>4723039</xdr:colOff>
      <xdr:row>1</xdr:row>
      <xdr:rowOff>174812</xdr:rowOff>
    </xdr:to>
    <xdr:grpSp>
      <xdr:nvGrpSpPr>
        <xdr:cNvPr id="61" name="SchedGrp" hidden="1"/>
        <xdr:cNvGrpSpPr/>
      </xdr:nvGrpSpPr>
      <xdr:grpSpPr>
        <a:xfrm>
          <a:off x="13554075" y="0"/>
          <a:ext cx="10009414" cy="936812"/>
          <a:chOff x="4057650" y="0"/>
          <a:chExt cx="10009414" cy="936812"/>
        </a:xfrm>
      </xdr:grpSpPr>
      <xdr:sp macro="" textlink="">
        <xdr:nvSpPr>
          <xdr:cNvPr id="45" name="TextBox 44" hidden="1"/>
          <xdr:cNvSpPr txBox="1"/>
        </xdr:nvSpPr>
        <xdr:spPr>
          <a:xfrm>
            <a:off x="4057650" y="78441"/>
            <a:ext cx="10009414" cy="42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500">
                <a:solidFill>
                  <a:schemeClr val="bg1"/>
                </a:solidFill>
                <a:latin typeface="Arial Rounded MT Bold" panose="020F0704030504030204" pitchFamily="34" charset="0"/>
              </a:rPr>
              <a:t>LOAN MANAGER</a:t>
            </a:r>
          </a:p>
        </xdr:txBody>
      </xdr:sp>
      <xdr:sp macro="" textlink="">
        <xdr:nvSpPr>
          <xdr:cNvPr id="46" name="TextBox 45" hidden="1"/>
          <xdr:cNvSpPr txBox="1"/>
        </xdr:nvSpPr>
        <xdr:spPr>
          <a:xfrm>
            <a:off x="4061012" y="504265"/>
            <a:ext cx="9996530" cy="4325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500">
                <a:solidFill>
                  <a:schemeClr val="bg1"/>
                </a:solidFill>
                <a:latin typeface="Arial Rounded MT Bold" panose="020F0704030504030204" pitchFamily="34" charset="0"/>
              </a:rPr>
              <a:t>PAYMENT SCHEDULE</a:t>
            </a:r>
          </a:p>
        </xdr:txBody>
      </xdr:sp>
      <xdr:pic>
        <xdr:nvPicPr>
          <xdr:cNvPr id="53" name="Picture 52" hidden="1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5925" y="0"/>
            <a:ext cx="606239" cy="609600"/>
          </a:xfrm>
          <a:prstGeom prst="rect">
            <a:avLst/>
          </a:prstGeom>
        </xdr:spPr>
      </xdr:pic>
      <xdr:pic>
        <xdr:nvPicPr>
          <xdr:cNvPr id="60" name="Picture 59" hidden="1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02066" y="581024"/>
            <a:ext cx="426320" cy="352425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638172</xdr:colOff>
      <xdr:row>10</xdr:row>
      <xdr:rowOff>36257</xdr:rowOff>
    </xdr:from>
    <xdr:to>
      <xdr:col>23</xdr:col>
      <xdr:colOff>19050</xdr:colOff>
      <xdr:row>16</xdr:row>
      <xdr:rowOff>19050</xdr:rowOff>
    </xdr:to>
    <xdr:sp macro="" textlink="">
      <xdr:nvSpPr>
        <xdr:cNvPr id="63" name="Rounded Rectangle 62"/>
        <xdr:cNvSpPr/>
      </xdr:nvSpPr>
      <xdr:spPr>
        <a:xfrm flipH="1">
          <a:off x="4133847" y="3217607"/>
          <a:ext cx="7077078" cy="1506793"/>
        </a:xfrm>
        <a:prstGeom prst="roundRect">
          <a:avLst>
            <a:gd name="adj" fmla="val 8681"/>
          </a:avLst>
        </a:prstGeom>
        <a:noFill/>
        <a:ln>
          <a:solidFill>
            <a:srgbClr val="032E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333375</xdr:colOff>
      <xdr:row>9</xdr:row>
      <xdr:rowOff>190499</xdr:rowOff>
    </xdr:from>
    <xdr:to>
      <xdr:col>18</xdr:col>
      <xdr:colOff>885825</xdr:colOff>
      <xdr:row>10</xdr:row>
      <xdr:rowOff>142874</xdr:rowOff>
    </xdr:to>
    <xdr:sp macro="" textlink="">
      <xdr:nvSpPr>
        <xdr:cNvPr id="65" name="TextBox 64"/>
        <xdr:cNvSpPr txBox="1"/>
      </xdr:nvSpPr>
      <xdr:spPr>
        <a:xfrm>
          <a:off x="4419600" y="3105149"/>
          <a:ext cx="1933575" cy="21907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rgbClr val="032E8F"/>
              </a:solidFill>
            </a:rPr>
            <a:t>PAYMENTS </a:t>
          </a:r>
          <a:r>
            <a:rPr lang="en-US" sz="1400" b="1" baseline="0">
              <a:solidFill>
                <a:srgbClr val="032E8F"/>
              </a:solidFill>
            </a:rPr>
            <a:t>SUMMARY</a:t>
          </a:r>
          <a:endParaRPr lang="en-US" sz="1400" b="1">
            <a:solidFill>
              <a:srgbClr val="032E8F"/>
            </a:solidFill>
          </a:endParaRPr>
        </a:p>
      </xdr:txBody>
    </xdr:sp>
    <xdr:clientData/>
  </xdr:twoCellAnchor>
  <xdr:twoCellAnchor editAs="oneCell">
    <xdr:from>
      <xdr:col>2</xdr:col>
      <xdr:colOff>39262</xdr:colOff>
      <xdr:row>5</xdr:row>
      <xdr:rowOff>28575</xdr:rowOff>
    </xdr:from>
    <xdr:to>
      <xdr:col>2</xdr:col>
      <xdr:colOff>267862</xdr:colOff>
      <xdr:row>5</xdr:row>
      <xdr:rowOff>257175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5237" y="187642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2</xdr:col>
      <xdr:colOff>39262</xdr:colOff>
      <xdr:row>2</xdr:row>
      <xdr:rowOff>35700</xdr:rowOff>
    </xdr:from>
    <xdr:to>
      <xdr:col>2</xdr:col>
      <xdr:colOff>267862</xdr:colOff>
      <xdr:row>2</xdr:row>
      <xdr:rowOff>264300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5237" y="107392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2</xdr:col>
      <xdr:colOff>39262</xdr:colOff>
      <xdr:row>4</xdr:row>
      <xdr:rowOff>24600</xdr:rowOff>
    </xdr:from>
    <xdr:to>
      <xdr:col>2</xdr:col>
      <xdr:colOff>267862</xdr:colOff>
      <xdr:row>4</xdr:row>
      <xdr:rowOff>253200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5237" y="16057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2</xdr:col>
      <xdr:colOff>43727</xdr:colOff>
      <xdr:row>3</xdr:row>
      <xdr:rowOff>30150</xdr:rowOff>
    </xdr:from>
    <xdr:to>
      <xdr:col>2</xdr:col>
      <xdr:colOff>263397</xdr:colOff>
      <xdr:row>3</xdr:row>
      <xdr:rowOff>258750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702" y="1344600"/>
          <a:ext cx="219670" cy="228600"/>
        </a:xfrm>
        <a:prstGeom prst="rect">
          <a:avLst/>
        </a:prstGeom>
      </xdr:spPr>
    </xdr:pic>
    <xdr:clientData/>
  </xdr:twoCellAnchor>
  <xdr:twoCellAnchor>
    <xdr:from>
      <xdr:col>4</xdr:col>
      <xdr:colOff>290512</xdr:colOff>
      <xdr:row>0</xdr:row>
      <xdr:rowOff>0</xdr:rowOff>
    </xdr:from>
    <xdr:to>
      <xdr:col>4</xdr:col>
      <xdr:colOff>6776476</xdr:colOff>
      <xdr:row>14</xdr:row>
      <xdr:rowOff>52419</xdr:rowOff>
    </xdr:to>
    <xdr:grpSp>
      <xdr:nvGrpSpPr>
        <xdr:cNvPr id="68" name="DashGrp"/>
        <xdr:cNvGrpSpPr/>
      </xdr:nvGrpSpPr>
      <xdr:grpSpPr>
        <a:xfrm>
          <a:off x="3786187" y="0"/>
          <a:ext cx="6485964" cy="4300569"/>
          <a:chOff x="3786187" y="0"/>
          <a:chExt cx="6485964" cy="4300569"/>
        </a:xfrm>
      </xdr:grpSpPr>
      <xdr:pic>
        <xdr:nvPicPr>
          <xdr:cNvPr id="7" name="Picture 6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01084" y="0"/>
            <a:ext cx="606239" cy="609600"/>
          </a:xfrm>
          <a:prstGeom prst="rect">
            <a:avLst/>
          </a:prstGeom>
        </xdr:spPr>
      </xdr:pic>
      <xdr:sp macro="" textlink="">
        <xdr:nvSpPr>
          <xdr:cNvPr id="6" name="TextBox 5"/>
          <xdr:cNvSpPr txBox="1"/>
        </xdr:nvSpPr>
        <xdr:spPr>
          <a:xfrm>
            <a:off x="4105275" y="76200"/>
            <a:ext cx="6096000" cy="427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500">
                <a:solidFill>
                  <a:schemeClr val="bg1"/>
                </a:solidFill>
                <a:latin typeface="Arial Rounded MT Bold" panose="020F0704030504030204" pitchFamily="34" charset="0"/>
              </a:rPr>
              <a:t>LOAN MANAGER</a:t>
            </a:r>
          </a:p>
        </xdr:txBody>
      </xdr:sp>
      <xdr:sp macro="" textlink="$B$39">
        <xdr:nvSpPr>
          <xdr:cNvPr id="8" name="Rounded Rectangle 7"/>
          <xdr:cNvSpPr/>
        </xdr:nvSpPr>
        <xdr:spPr>
          <a:xfrm>
            <a:off x="3786187" y="1392454"/>
            <a:ext cx="2743200" cy="1368524"/>
          </a:xfrm>
          <a:prstGeom prst="roundRect">
            <a:avLst/>
          </a:prstGeom>
          <a:gradFill flip="none" rotWithShape="1">
            <a:gsLst>
              <a:gs pos="0">
                <a:srgbClr val="339966"/>
              </a:gs>
              <a:gs pos="100000">
                <a:srgbClr val="008000"/>
              </a:gs>
            </a:gsLst>
            <a:lin ang="27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F9285A13-E285-4937-B5E2-46EFB54A5F9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t>Total Loaned Out 
$35,000.00</a:t>
            </a:fld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9" name="Picture 8"/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19775" y="1416214"/>
            <a:ext cx="609600" cy="608233"/>
          </a:xfrm>
          <a:prstGeom prst="rect">
            <a:avLst/>
          </a:prstGeom>
        </xdr:spPr>
      </xdr:pic>
      <xdr:sp macro="" textlink="$B$41">
        <xdr:nvSpPr>
          <xdr:cNvPr id="14" name="Rounded Rectangle 13"/>
          <xdr:cNvSpPr/>
        </xdr:nvSpPr>
        <xdr:spPr>
          <a:xfrm>
            <a:off x="7100887" y="1392454"/>
            <a:ext cx="2743200" cy="1368524"/>
          </a:xfrm>
          <a:prstGeom prst="roundRect">
            <a:avLst/>
          </a:prstGeom>
          <a:gradFill flip="none" rotWithShape="1">
            <a:gsLst>
              <a:gs pos="0">
                <a:srgbClr val="339966"/>
              </a:gs>
              <a:gs pos="100000">
                <a:srgbClr val="008000"/>
              </a:gs>
            </a:gsLst>
            <a:lin ang="27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2ED67894-7D6B-4260-B1B7-0B90288FABD6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t>Total Interest Earned 
$35.73</a:t>
            </a:fld>
            <a:endParaRPr lang="en-US" sz="1400" b="1">
              <a:solidFill>
                <a:schemeClr val="bg1"/>
              </a:solidFill>
            </a:endParaRPr>
          </a:p>
        </xdr:txBody>
      </xdr:sp>
      <xdr:sp macro="" textlink="$B$42">
        <xdr:nvSpPr>
          <xdr:cNvPr id="15" name="Rounded Rectangle 14"/>
          <xdr:cNvSpPr/>
        </xdr:nvSpPr>
        <xdr:spPr>
          <a:xfrm>
            <a:off x="7100887" y="2932045"/>
            <a:ext cx="2743200" cy="1368524"/>
          </a:xfrm>
          <a:prstGeom prst="roundRect">
            <a:avLst/>
          </a:prstGeom>
          <a:gradFill flip="none" rotWithShape="1">
            <a:gsLst>
              <a:gs pos="0">
                <a:srgbClr val="339966"/>
              </a:gs>
              <a:gs pos="100000">
                <a:srgbClr val="008000"/>
              </a:gs>
            </a:gsLst>
            <a:lin ang="27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20301B88-897D-4AA8-ADA2-EAE2E4B069AC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t>Total Interest Paid 
$5,015.83</a:t>
            </a:fld>
            <a:endParaRPr lang="en-US" sz="1400" b="1">
              <a:solidFill>
                <a:schemeClr val="bg1"/>
              </a:solidFill>
            </a:endParaRPr>
          </a:p>
        </xdr:txBody>
      </xdr:sp>
      <xdr:sp macro="" textlink="$B$40">
        <xdr:nvSpPr>
          <xdr:cNvPr id="16" name="Rounded Rectangle 15"/>
          <xdr:cNvSpPr/>
        </xdr:nvSpPr>
        <xdr:spPr>
          <a:xfrm>
            <a:off x="3786187" y="2932045"/>
            <a:ext cx="2743200" cy="1368524"/>
          </a:xfrm>
          <a:prstGeom prst="roundRect">
            <a:avLst/>
          </a:prstGeom>
          <a:gradFill flip="none" rotWithShape="1">
            <a:gsLst>
              <a:gs pos="0">
                <a:srgbClr val="339966"/>
              </a:gs>
              <a:gs pos="100000">
                <a:srgbClr val="008000"/>
              </a:gs>
            </a:gsLst>
            <a:lin ang="27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DB69535E-E3A1-4E66-BD15-C7375EA1B4CF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t>Total Owed 
$300,000.00</a:t>
            </a:fld>
            <a:endParaRPr lang="en-US" sz="1400" b="1">
              <a:solidFill>
                <a:schemeClr val="bg1"/>
              </a:solidFill>
            </a:endParaRPr>
          </a:p>
        </xdr:txBody>
      </xdr:sp>
      <xdr:pic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17374" y="3038942"/>
            <a:ext cx="478651" cy="477578"/>
          </a:xfrm>
          <a:prstGeom prst="rect">
            <a:avLst/>
          </a:prstGeom>
        </xdr:spPr>
      </xdr:pic>
      <xdr:pic>
        <xdr:nvPicPr>
          <xdr:cNvPr id="17" name="Picture 16"/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3050" y="1473236"/>
            <a:ext cx="609524" cy="608157"/>
          </a:xfrm>
          <a:prstGeom prst="rect">
            <a:avLst/>
          </a:prstGeom>
        </xdr:spPr>
      </xdr:pic>
      <xdr:sp macro="" textlink="">
        <xdr:nvSpPr>
          <xdr:cNvPr id="35" name="TextBox 34"/>
          <xdr:cNvSpPr txBox="1"/>
        </xdr:nvSpPr>
        <xdr:spPr>
          <a:xfrm>
            <a:off x="3845578" y="587673"/>
            <a:ext cx="6426573" cy="4234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500">
                <a:solidFill>
                  <a:schemeClr val="bg1"/>
                </a:solidFill>
                <a:latin typeface="Arial Rounded MT Bold" panose="020F0704030504030204" pitchFamily="34" charset="0"/>
              </a:rPr>
              <a:t>DASHBOARD</a:t>
            </a:r>
          </a:p>
        </xdr:txBody>
      </xdr:sp>
      <xdr:pic>
        <xdr:nvPicPr>
          <xdr:cNvPr id="54" name="Picture 53"/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343525" y="628650"/>
            <a:ext cx="561975" cy="407177"/>
          </a:xfrm>
          <a:prstGeom prst="rect">
            <a:avLst/>
          </a:prstGeom>
        </xdr:spPr>
      </xdr:pic>
      <xdr:pic>
        <xdr:nvPicPr>
          <xdr:cNvPr id="66" name="Picture 65"/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34475" y="3000375"/>
            <a:ext cx="612648" cy="612648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819150</xdr:colOff>
      <xdr:row>18</xdr:row>
      <xdr:rowOff>28575</xdr:rowOff>
    </xdr:from>
    <xdr:to>
      <xdr:col>4</xdr:col>
      <xdr:colOff>6654208</xdr:colOff>
      <xdr:row>30</xdr:row>
      <xdr:rowOff>138531</xdr:rowOff>
    </xdr:to>
    <xdr:grpSp>
      <xdr:nvGrpSpPr>
        <xdr:cNvPr id="69" name="grpAdvert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GrpSpPr/>
      </xdr:nvGrpSpPr>
      <xdr:grpSpPr>
        <a:xfrm>
          <a:off x="4314825" y="5191125"/>
          <a:ext cx="5835058" cy="2853156"/>
          <a:chOff x="2590800" y="904875"/>
          <a:chExt cx="6216058" cy="2710281"/>
        </a:xfrm>
      </xdr:grpSpPr>
      <xdr:pic>
        <xdr:nvPicPr>
          <xdr:cNvPr id="70" name="Picture 6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xmlns="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90800" y="973559"/>
            <a:ext cx="5713561" cy="2641597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sp macro="" textlink="">
        <xdr:nvSpPr>
          <xdr:cNvPr id="71" name="Explosion 1 6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xmlns="" id="{00000000-0008-0000-0000-000014000000}"/>
              </a:ext>
            </a:extLst>
          </xdr:cNvPr>
          <xdr:cNvSpPr/>
        </xdr:nvSpPr>
        <xdr:spPr>
          <a:xfrm>
            <a:off x="7207338" y="904875"/>
            <a:ext cx="1599520" cy="1233609"/>
          </a:xfrm>
          <a:prstGeom prst="irregularSeal1">
            <a:avLst/>
          </a:prstGeom>
          <a:gradFill flip="none" rotWithShape="1">
            <a:gsLst>
              <a:gs pos="100000">
                <a:srgbClr val="1FFE0E">
                  <a:shade val="30000"/>
                  <a:satMod val="115000"/>
                </a:srgbClr>
              </a:gs>
              <a:gs pos="0">
                <a:srgbClr val="1FFE0E"/>
              </a:gs>
              <a:gs pos="50000">
                <a:srgbClr val="1FFE0E">
                  <a:shade val="67500"/>
                  <a:satMod val="115000"/>
                </a:srgbClr>
              </a:gs>
            </a:gsLst>
            <a:path path="circle">
              <a:fillToRect l="50000" t="50000" r="50000" b="50000"/>
            </a:path>
            <a:tileRect/>
          </a:gradFill>
          <a:ln>
            <a:solidFill>
              <a:srgbClr val="1D8145"/>
            </a:solidFill>
          </a:ln>
          <a:effectLst>
            <a:outerShdw blurRad="101600" dist="762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  <a:latin typeface="+mj-lt"/>
              </a:rPr>
              <a:t>CLICK</a:t>
            </a:r>
            <a:r>
              <a:rPr lang="en-US" sz="1000" b="1" baseline="0">
                <a:solidFill>
                  <a:sysClr val="windowText" lastClr="000000"/>
                </a:solidFill>
                <a:latin typeface="+mj-lt"/>
              </a:rPr>
              <a:t> HERE TO LEARN MORE</a:t>
            </a:r>
            <a:endParaRPr lang="en-US" sz="1000" b="1">
              <a:solidFill>
                <a:sysClr val="windowText" lastClr="000000"/>
              </a:solidFill>
              <a:latin typeface="+mj-lt"/>
            </a:endParaRPr>
          </a:p>
        </xdr:txBody>
      </xdr:sp>
      <xdr:sp macro="" textlink="">
        <xdr:nvSpPr>
          <xdr:cNvPr id="72" name="Rounded Rectangle 6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SpPr/>
        </xdr:nvSpPr>
        <xdr:spPr>
          <a:xfrm>
            <a:off x="2609631" y="2780451"/>
            <a:ext cx="3832789" cy="823722"/>
          </a:xfrm>
          <a:prstGeom prst="roundRect">
            <a:avLst>
              <a:gd name="adj" fmla="val 24510"/>
            </a:avLst>
          </a:prstGeom>
          <a:solidFill>
            <a:srgbClr val="303C18">
              <a:alpha val="52941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18288" bIns="0" rtlCol="0" anchor="ctr"/>
          <a:lstStyle/>
          <a:p>
            <a:pPr algn="ctr"/>
            <a:r>
              <a:rPr lang="en-US" sz="1400">
                <a:latin typeface="+mn-lt"/>
              </a:rPr>
              <a:t>Learn How To  Define, Design, </a:t>
            </a:r>
            <a:r>
              <a:rPr lang="en-US" sz="1400" baseline="0">
                <a:latin typeface="+mn-lt"/>
              </a:rPr>
              <a:t> Develop &amp; Deploy Your Own Excel Applications In This Amazing Mentorship Program</a:t>
            </a:r>
            <a:endParaRPr lang="en-US" sz="1400">
              <a:latin typeface="+mn-lt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ilr/Dropbox/Excel4Freelancers/FreeTrainingVideos/Cash%20Flow%20Calendar/Cash_Flow_Calend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Cash Flow Calendar"/>
      <sheetName val="Data"/>
    </sheetNames>
    <sheetDataSet>
      <sheetData sheetId="0">
        <row r="6">
          <cell r="D6" t="str">
            <v>Monday</v>
          </cell>
        </row>
        <row r="7">
          <cell r="D7" t="str">
            <v>Tuesday</v>
          </cell>
        </row>
        <row r="8">
          <cell r="D8" t="str">
            <v>Wednesday</v>
          </cell>
        </row>
        <row r="9">
          <cell r="D9" t="str">
            <v>Thursday</v>
          </cell>
        </row>
        <row r="10">
          <cell r="D10" t="str">
            <v>Friday</v>
          </cell>
        </row>
        <row r="11">
          <cell r="D11" t="str">
            <v>Saturday</v>
          </cell>
        </row>
        <row r="12">
          <cell r="D12" t="str">
            <v>Sunday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53"/>
  <sheetViews>
    <sheetView showGridLines="0" showZeros="0" tabSelected="1" topLeftCell="C1" zoomScaleNormal="100" workbookViewId="0">
      <selection activeCell="E14" sqref="E14"/>
    </sheetView>
  </sheetViews>
  <sheetFormatPr defaultRowHeight="15" x14ac:dyDescent="0.25"/>
  <cols>
    <col min="1" max="1" width="20.42578125" bestFit="1" customWidth="1"/>
    <col min="2" max="2" width="10.85546875" bestFit="1" customWidth="1"/>
    <col min="3" max="3" width="5.42578125" customWidth="1"/>
    <col min="4" max="4" width="15.7109375" bestFit="1" customWidth="1"/>
    <col min="5" max="5" width="150.85546875" customWidth="1"/>
    <col min="6" max="6" width="21.28515625" hidden="1" customWidth="1"/>
    <col min="7" max="7" width="5.5703125" hidden="1" customWidth="1"/>
    <col min="8" max="8" width="19.28515625" hidden="1" customWidth="1"/>
    <col min="9" max="9" width="20" hidden="1" customWidth="1"/>
    <col min="10" max="10" width="6.85546875" hidden="1" customWidth="1"/>
    <col min="11" max="11" width="16.140625" hidden="1" customWidth="1"/>
    <col min="12" max="12" width="17.7109375" hidden="1" customWidth="1"/>
    <col min="13" max="13" width="7.140625" hidden="1" customWidth="1"/>
    <col min="14" max="14" width="29.28515625" hidden="1" customWidth="1"/>
    <col min="15" max="15" width="19" hidden="1" customWidth="1"/>
    <col min="16" max="16" width="2" style="36" hidden="1" customWidth="1"/>
    <col min="17" max="17" width="9.85546875" hidden="1" customWidth="1"/>
    <col min="18" max="18" width="20.7109375" hidden="1" customWidth="1"/>
    <col min="19" max="19" width="16.5703125" hidden="1" customWidth="1"/>
    <col min="20" max="20" width="17.5703125" hidden="1" customWidth="1"/>
    <col min="21" max="22" width="16.85546875" hidden="1" customWidth="1"/>
    <col min="23" max="23" width="17.5703125" hidden="1" customWidth="1"/>
    <col min="24" max="24" width="8.140625" hidden="1" customWidth="1"/>
    <col min="25" max="25" width="9.140625" hidden="1" customWidth="1"/>
    <col min="26" max="32" width="21.42578125" hidden="1" customWidth="1"/>
    <col min="33" max="33" width="33.140625" bestFit="1" customWidth="1"/>
    <col min="34" max="34" width="37" customWidth="1"/>
    <col min="36" max="36" width="103.42578125" customWidth="1"/>
  </cols>
  <sheetData>
    <row r="1" spans="1:36" ht="60" customHeight="1" x14ac:dyDescent="0.25">
      <c r="A1" s="70" t="s">
        <v>97</v>
      </c>
      <c r="B1" s="70" t="b">
        <v>0</v>
      </c>
      <c r="C1" s="3"/>
      <c r="D1" s="3"/>
      <c r="E1" s="25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</row>
    <row r="2" spans="1:36" s="6" customFormat="1" ht="21.75" thickBot="1" x14ac:dyDescent="0.4">
      <c r="A2" s="7" t="s">
        <v>25</v>
      </c>
      <c r="B2" s="49">
        <v>3</v>
      </c>
      <c r="C2" s="54"/>
      <c r="D2" s="54"/>
      <c r="E2" s="24"/>
      <c r="F2" s="33"/>
      <c r="G2" s="11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33"/>
      <c r="AA2" s="33"/>
      <c r="AB2" s="33"/>
      <c r="AC2" s="33"/>
      <c r="AD2" s="33"/>
      <c r="AE2" s="33"/>
      <c r="AF2" s="11"/>
      <c r="AG2" s="11"/>
      <c r="AH2" s="11"/>
      <c r="AI2" s="11"/>
      <c r="AJ2" s="11"/>
    </row>
    <row r="3" spans="1:36" s="6" customFormat="1" ht="21.75" customHeight="1" x14ac:dyDescent="0.35">
      <c r="A3" s="7" t="s">
        <v>10</v>
      </c>
      <c r="B3" s="49">
        <v>1</v>
      </c>
      <c r="C3" s="50" t="s">
        <v>0</v>
      </c>
      <c r="D3" s="50"/>
      <c r="E3" s="9"/>
      <c r="F3" s="56" t="s">
        <v>1</v>
      </c>
      <c r="G3" s="9"/>
      <c r="H3" s="80"/>
      <c r="I3" s="8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30" t="s">
        <v>53</v>
      </c>
      <c r="AA3" s="35" t="s">
        <v>54</v>
      </c>
      <c r="AB3" s="34" t="s">
        <v>55</v>
      </c>
      <c r="AC3" s="35" t="s">
        <v>68</v>
      </c>
      <c r="AD3" s="34" t="s">
        <v>56</v>
      </c>
      <c r="AE3" s="35">
        <v>2020</v>
      </c>
      <c r="AF3" s="48"/>
      <c r="AG3" s="9"/>
      <c r="AH3" s="9"/>
      <c r="AI3" s="9"/>
      <c r="AJ3" s="9"/>
    </row>
    <row r="4" spans="1:36" s="6" customFormat="1" ht="21" x14ac:dyDescent="0.35">
      <c r="A4" s="7" t="s">
        <v>91</v>
      </c>
      <c r="B4" s="49">
        <f ca="1">IFERROR(MATCH(B3,Loan_ID,0)+3,"")</f>
        <v>4</v>
      </c>
      <c r="C4" s="53" t="s">
        <v>2</v>
      </c>
      <c r="D4" s="53"/>
      <c r="E4" s="9"/>
      <c r="F4" s="100" t="str">
        <f>Loans!B4</f>
        <v>Home Loan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47" t="str">
        <f>UPPER(AA3)</f>
        <v>MONDAY</v>
      </c>
      <c r="AA4" s="47" t="str">
        <f>UPPER(IF(MATCH(Z4,Weekdays,0)=7,A27,INDEX(Weekdays,MATCH(Z4,Weekdays,0)+1,1)))</f>
        <v>TUESDAY</v>
      </c>
      <c r="AB4" s="47" t="str">
        <f>UPPER(IF(MATCH(AA4,Weekdays,0)=7,B27,INDEX(Weekdays,MATCH(AA4,Weekdays,0)+1,1)))</f>
        <v>WEDNESDAY</v>
      </c>
      <c r="AC4" s="47" t="str">
        <f>UPPER(IF(MATCH(AB4,Weekdays,0)=7,C17,INDEX(Weekdays,MATCH(AB4,Weekdays,0)+1,1)))</f>
        <v>THURSDAY</v>
      </c>
      <c r="AD4" s="47" t="str">
        <f>UPPER(IF(MATCH(AC4,Weekdays,0)=7,D17,INDEX(Weekdays,MATCH(AC4,Weekdays,0)+1,1)))</f>
        <v>FRIDAY</v>
      </c>
      <c r="AE4" s="47" t="str">
        <f>UPPER(IF(MATCH(AD4,Weekdays,0)=7,E17,INDEX(Weekdays,MATCH(AD4,Weekdays,0)+1,1)))</f>
        <v>SATURDAY</v>
      </c>
      <c r="AF4" s="47" t="str">
        <f>UPPER(IF(MATCH(AE4,Weekdays,0)=7,F17,INDEX(Weekdays,MATCH(AE4,Weekdays,0)+1,1)))</f>
        <v>SUNDAY</v>
      </c>
      <c r="AG4" s="9"/>
      <c r="AH4" s="9"/>
      <c r="AI4" s="9"/>
      <c r="AJ4" s="9"/>
    </row>
    <row r="5" spans="1:36" s="6" customFormat="1" ht="21" x14ac:dyDescent="0.35">
      <c r="A5" s="7" t="s">
        <v>12</v>
      </c>
      <c r="B5" s="49">
        <f ca="1">IFERROR(MAX(Loan_ID)+1,1)</f>
        <v>7</v>
      </c>
      <c r="C5" s="53" t="s">
        <v>3</v>
      </c>
      <c r="D5" s="53"/>
      <c r="E5" s="9"/>
      <c r="F5" s="101" t="str">
        <f>Loans!B5</f>
        <v>Fredders Loan</v>
      </c>
      <c r="G5" s="9"/>
      <c r="H5" s="30" t="s">
        <v>19</v>
      </c>
      <c r="I5" s="35" t="s">
        <v>23</v>
      </c>
      <c r="J5" s="10"/>
      <c r="K5" s="30" t="s">
        <v>6</v>
      </c>
      <c r="L5" s="58">
        <v>43831</v>
      </c>
      <c r="M5" s="10"/>
      <c r="N5" s="51" t="s">
        <v>14</v>
      </c>
      <c r="O5" s="85">
        <f>IFERROR(L9*B9,"")</f>
        <v>360</v>
      </c>
      <c r="P5" s="26"/>
      <c r="Q5" s="10"/>
      <c r="R5" s="30" t="s">
        <v>49</v>
      </c>
      <c r="S5" s="27" t="s">
        <v>23</v>
      </c>
      <c r="T5" s="29"/>
      <c r="U5" s="9"/>
      <c r="V5" s="30" t="s">
        <v>43</v>
      </c>
      <c r="W5" s="13">
        <v>44164</v>
      </c>
      <c r="X5" s="10"/>
      <c r="Y5" s="10"/>
      <c r="Z5" s="46" t="str">
        <f>IF(WEEKDAY($B$24,2)=StartDayNumb,$B$24,"")</f>
        <v/>
      </c>
      <c r="AA5" s="46" t="str">
        <f>IF(Z5&lt;&gt;"",Z5+1,IF(WEEKDAY($B$24,2)=MOD(StartDayNumb,7)+1,$B$24,""))</f>
        <v/>
      </c>
      <c r="AB5" s="46" t="str">
        <f>IF(AA5&lt;&gt;"",AA5+1,IF(WEEKDAY($B$24,2)=MOD(StartDayNumb+1,7)+1,$B$24,""))</f>
        <v/>
      </c>
      <c r="AC5" s="46" t="str">
        <f>IF(AB5&lt;&gt;"",AB5+1,IF(WEEKDAY($B$24,2)=MOD(StartDayNumb+2,7)+1,$B$24,""))</f>
        <v/>
      </c>
      <c r="AD5" s="46" t="str">
        <f>IF(AC5&lt;&gt;"",AC5+1,IF(WEEKDAY($B$24,2)=MOD(StartDayNumb+3,7)+1,$B$24,""))</f>
        <v/>
      </c>
      <c r="AE5" s="46" t="str">
        <f>IF(AD5&lt;&gt;"",AD5+1,IF(WEEKDAY($B$24,2)=MOD(StartDayNumb+4,7)+1,$B$24,""))</f>
        <v/>
      </c>
      <c r="AF5" s="46">
        <f>IF(AE5&lt;&gt;"",AE5+1,IF(WEEKDAY($B$24,2)=MOD(StartDayNumb+5,7)+1,$B$24,""))</f>
        <v>43891</v>
      </c>
      <c r="AG5" s="9"/>
      <c r="AH5" s="9"/>
      <c r="AI5" s="9"/>
      <c r="AJ5" s="9"/>
    </row>
    <row r="6" spans="1:36" s="6" customFormat="1" ht="21" x14ac:dyDescent="0.35">
      <c r="A6" s="7" t="s">
        <v>13</v>
      </c>
      <c r="B6" s="14"/>
      <c r="C6" s="53" t="s">
        <v>4</v>
      </c>
      <c r="D6" s="53"/>
      <c r="E6" s="9"/>
      <c r="F6" s="101" t="str">
        <f>Loans!B6</f>
        <v>Car Loan</v>
      </c>
      <c r="G6" s="9"/>
      <c r="H6" s="51"/>
      <c r="I6" s="10"/>
      <c r="J6" s="10"/>
      <c r="K6" s="51"/>
      <c r="L6" s="10"/>
      <c r="M6" s="10"/>
      <c r="N6" s="51" t="s">
        <v>26</v>
      </c>
      <c r="O6" s="89">
        <f>IFERROR(PMT((I9/B9),O5,-L7),"")</f>
        <v>1342.0540575303476</v>
      </c>
      <c r="P6" s="52"/>
      <c r="Q6" s="10"/>
      <c r="R6" s="10"/>
      <c r="S6" s="10"/>
      <c r="T6" s="10"/>
      <c r="U6" s="10"/>
      <c r="V6" s="10"/>
      <c r="W6" s="10"/>
      <c r="X6" s="10"/>
      <c r="Y6" s="10"/>
      <c r="Z6" s="86" t="str">
        <f ca="1">IFERROR(INDEX(Loan_Name,MATCH(Z5,Loan_NextPmnt,0),1),"")</f>
        <v/>
      </c>
      <c r="AA6" s="86" t="str">
        <f ca="1">IFERROR(INDEX(Loan_Name,MATCH(AA5,Loan_NextPmnt,0),1),"")</f>
        <v/>
      </c>
      <c r="AB6" s="86" t="str">
        <f ca="1">IFERROR(INDEX(Loan_Name,MATCH(AB5,Loan_NextPmnt,0),1),"")</f>
        <v/>
      </c>
      <c r="AC6" s="86" t="str">
        <f ca="1">IFERROR(INDEX(Loan_Name,MATCH(AC5,Loan_NextPmnt,0),1),"")</f>
        <v/>
      </c>
      <c r="AD6" s="86" t="str">
        <f ca="1">IFERROR(INDEX(Loan_Name,MATCH(AD5,Loan_NextPmnt,0),1),"")</f>
        <v/>
      </c>
      <c r="AE6" s="86" t="str">
        <f ca="1">IFERROR(INDEX(Loan_Name,MATCH(AE5,Loan_NextPmnt,0),1),"")</f>
        <v/>
      </c>
      <c r="AF6" s="86" t="str">
        <f ca="1">IFERROR(INDEX(Loan_Name,MATCH(AF5,Loan_NextPmnt,0),1),"")</f>
        <v>Home Loan</v>
      </c>
      <c r="AG6" s="81"/>
      <c r="AH6" s="9"/>
      <c r="AI6" s="9"/>
      <c r="AJ6" s="9"/>
    </row>
    <row r="7" spans="1:36" s="6" customFormat="1" ht="21" x14ac:dyDescent="0.35">
      <c r="A7" s="7" t="s">
        <v>11</v>
      </c>
      <c r="B7" s="14">
        <v>4</v>
      </c>
      <c r="C7" s="5"/>
      <c r="D7" s="5"/>
      <c r="E7" s="9"/>
      <c r="F7" s="101" t="str">
        <f>Loans!B7</f>
        <v>Visa Pmnt</v>
      </c>
      <c r="G7" s="9"/>
      <c r="H7" s="30" t="s">
        <v>20</v>
      </c>
      <c r="I7" s="35" t="s">
        <v>90</v>
      </c>
      <c r="J7" s="10"/>
      <c r="K7" s="30" t="s">
        <v>7</v>
      </c>
      <c r="L7" s="69">
        <v>250000</v>
      </c>
      <c r="M7" s="10"/>
      <c r="N7" s="51" t="s">
        <v>94</v>
      </c>
      <c r="O7" s="89">
        <f>IFERROR(O6*(L9*B9),"")</f>
        <v>483139.46071092511</v>
      </c>
      <c r="P7" s="52"/>
      <c r="Q7" s="10"/>
      <c r="R7" s="30" t="s">
        <v>50</v>
      </c>
      <c r="S7" s="99">
        <v>1342.05</v>
      </c>
      <c r="T7" s="30" t="s">
        <v>45</v>
      </c>
      <c r="U7" s="79">
        <v>554.67999999999995</v>
      </c>
      <c r="V7" s="30" t="s">
        <v>46</v>
      </c>
      <c r="W7" s="79">
        <v>787.37</v>
      </c>
      <c r="X7" s="10"/>
      <c r="Y7" s="10"/>
      <c r="Z7" s="87"/>
      <c r="AA7" s="87"/>
      <c r="AB7" s="87"/>
      <c r="AC7" s="87"/>
      <c r="AD7" s="87"/>
      <c r="AE7" s="87"/>
      <c r="AF7" s="87"/>
      <c r="AG7" s="81"/>
      <c r="AH7" s="9"/>
      <c r="AI7" s="9"/>
      <c r="AJ7" s="9"/>
    </row>
    <row r="8" spans="1:36" s="6" customFormat="1" ht="21" x14ac:dyDescent="0.35">
      <c r="A8" s="7" t="s">
        <v>92</v>
      </c>
      <c r="B8" s="14">
        <f ca="1">IFERROR(MATCH(INDEX(F1:F46,B7,1),Loan_Name,0)+3,"")</f>
        <v>4</v>
      </c>
      <c r="C8" s="5"/>
      <c r="D8" s="5"/>
      <c r="E8" s="9"/>
      <c r="F8" s="101" t="str">
        <f>Loans!B8</f>
        <v>David's Loan</v>
      </c>
      <c r="G8" s="9"/>
      <c r="H8" s="51"/>
      <c r="I8" s="10"/>
      <c r="J8" s="10"/>
      <c r="K8" s="51"/>
      <c r="L8" s="10"/>
      <c r="M8" s="10"/>
      <c r="N8" s="51" t="s">
        <v>17</v>
      </c>
      <c r="O8" s="84">
        <f>IFERROR(O7-L7,"")</f>
        <v>233139.46071092511</v>
      </c>
      <c r="P8" s="52"/>
      <c r="Q8" s="10"/>
      <c r="R8" s="10"/>
      <c r="S8" s="10"/>
      <c r="T8" s="10"/>
      <c r="U8" s="10"/>
      <c r="V8" s="10"/>
      <c r="W8" s="10"/>
      <c r="X8" s="10"/>
      <c r="Y8" s="10"/>
      <c r="Z8" s="88"/>
      <c r="AA8" s="88"/>
      <c r="AB8" s="88"/>
      <c r="AC8" s="88"/>
      <c r="AD8" s="88"/>
      <c r="AE8" s="88"/>
      <c r="AF8" s="88"/>
      <c r="AG8" s="81"/>
      <c r="AH8" s="9"/>
      <c r="AI8" s="9"/>
      <c r="AJ8" s="9"/>
    </row>
    <row r="9" spans="1:36" s="6" customFormat="1" ht="21" x14ac:dyDescent="0.35">
      <c r="A9" s="65" t="s">
        <v>126</v>
      </c>
      <c r="B9" s="14">
        <f>IFERROR(INDEX(Admin!$C$5:$C$12,MATCH('Loan Manager'!I11,Frequency,0),1),"")</f>
        <v>12</v>
      </c>
      <c r="C9" s="5"/>
      <c r="D9" s="5"/>
      <c r="E9" s="9"/>
      <c r="F9" s="101"/>
      <c r="G9" s="9"/>
      <c r="H9" s="30" t="s">
        <v>98</v>
      </c>
      <c r="I9" s="57">
        <v>0.05</v>
      </c>
      <c r="J9" s="10"/>
      <c r="K9" s="30" t="s">
        <v>8</v>
      </c>
      <c r="L9" s="35">
        <v>30</v>
      </c>
      <c r="M9" s="10"/>
      <c r="N9" s="51" t="s">
        <v>15</v>
      </c>
      <c r="O9" s="83">
        <f ca="1">SUMIF(Pmnt._LoanID,B3,Pmnt_Amt)</f>
        <v>6850.03</v>
      </c>
      <c r="P9" s="26"/>
      <c r="Q9" s="10"/>
      <c r="R9" s="30" t="s">
        <v>51</v>
      </c>
      <c r="S9" s="27"/>
      <c r="T9" s="28"/>
      <c r="U9" s="28"/>
      <c r="V9" s="28"/>
      <c r="W9" s="29"/>
      <c r="X9" s="10"/>
      <c r="Y9" s="10"/>
      <c r="Z9" s="46">
        <f>AF5+1</f>
        <v>43892</v>
      </c>
      <c r="AA9" s="46">
        <f>Z9+1</f>
        <v>43893</v>
      </c>
      <c r="AB9" s="46">
        <f t="shared" ref="AB9:AF9" si="0">AA9+1</f>
        <v>43894</v>
      </c>
      <c r="AC9" s="46">
        <f t="shared" si="0"/>
        <v>43895</v>
      </c>
      <c r="AD9" s="46">
        <f t="shared" si="0"/>
        <v>43896</v>
      </c>
      <c r="AE9" s="46">
        <f t="shared" si="0"/>
        <v>43897</v>
      </c>
      <c r="AF9" s="46">
        <f t="shared" si="0"/>
        <v>43898</v>
      </c>
      <c r="AG9" s="9"/>
      <c r="AH9" s="9"/>
      <c r="AI9" s="9"/>
      <c r="AJ9" s="9"/>
    </row>
    <row r="10" spans="1:36" s="6" customFormat="1" ht="21" x14ac:dyDescent="0.35">
      <c r="A10" s="65" t="s">
        <v>148</v>
      </c>
      <c r="B10" s="65" t="str">
        <f ca="1">IFERROR(INDEX(Loan_Type,B12-3,1),"")</f>
        <v>Loan Taken</v>
      </c>
      <c r="C10" s="5"/>
      <c r="D10" s="5"/>
      <c r="E10" s="9"/>
      <c r="F10" s="101"/>
      <c r="G10" s="9"/>
      <c r="H10" s="51"/>
      <c r="I10" s="10"/>
      <c r="J10" s="10"/>
      <c r="K10" s="51"/>
      <c r="L10" s="10"/>
      <c r="M10" s="10"/>
      <c r="N10" s="51" t="s">
        <v>18</v>
      </c>
      <c r="O10" s="83">
        <f ca="1">SUMIF(Pmnt._LoanID,B3,Pmnt_IntAmt)</f>
        <v>4916.4399999999996</v>
      </c>
      <c r="P10" s="26"/>
      <c r="Q10" s="10"/>
      <c r="R10" s="10"/>
      <c r="S10" s="10"/>
      <c r="T10" s="10"/>
      <c r="U10" s="10"/>
      <c r="V10" s="10"/>
      <c r="W10" s="10"/>
      <c r="X10" s="10"/>
      <c r="Y10" s="10"/>
      <c r="Z10" s="86" t="str">
        <f ca="1">IFERROR(INDEX(Loan_Name,MATCH(Z9,Loan_NextPmnt,0),1),"")</f>
        <v/>
      </c>
      <c r="AA10" s="86" t="str">
        <f ca="1">IFERROR(INDEX(Loan_Name,MATCH(AA9,Loan_NextPmnt,0),1),"")</f>
        <v/>
      </c>
      <c r="AB10" s="86" t="str">
        <f ca="1">IFERROR(INDEX(Loan_Name,MATCH(AB9,Loan_NextPmnt,0),1),"")</f>
        <v/>
      </c>
      <c r="AC10" s="86" t="str">
        <f ca="1">IFERROR(INDEX(Loan_Name,MATCH(AC9,Loan_NextPmnt,0),1),"")</f>
        <v/>
      </c>
      <c r="AD10" s="86" t="str">
        <f ca="1">IFERROR(INDEX(Loan_Name,MATCH(AD9,Loan_NextPmnt,0),1),"")</f>
        <v/>
      </c>
      <c r="AE10" s="86" t="str">
        <f ca="1">IFERROR(INDEX(Loan_Name,MATCH(AE9,Loan_NextPmnt,0),1),"")</f>
        <v/>
      </c>
      <c r="AF10" s="86" t="str">
        <f ca="1">IFERROR(INDEX(Loan_Name,MATCH(AF9,Loan_NextPmnt,0),1),"")</f>
        <v/>
      </c>
      <c r="AG10" s="9"/>
      <c r="AH10" s="9"/>
      <c r="AI10" s="9"/>
      <c r="AJ10" s="9"/>
    </row>
    <row r="11" spans="1:36" s="6" customFormat="1" ht="21" x14ac:dyDescent="0.35">
      <c r="A11" s="65" t="s">
        <v>96</v>
      </c>
      <c r="B11" s="14">
        <f>IFERROR(INDEX(Admin!$D$5:$D$12,MATCH('Loan Manager'!I11,Frequency,0),1),"")</f>
        <v>30</v>
      </c>
      <c r="C11" s="5"/>
      <c r="D11" s="5"/>
      <c r="E11" s="9"/>
      <c r="F11" s="101"/>
      <c r="G11" s="9"/>
      <c r="H11" s="30" t="s">
        <v>9</v>
      </c>
      <c r="I11" s="35" t="s">
        <v>85</v>
      </c>
      <c r="J11" s="10"/>
      <c r="K11" s="30" t="s">
        <v>22</v>
      </c>
      <c r="L11" s="58">
        <v>43832</v>
      </c>
      <c r="M11" s="10"/>
      <c r="N11" s="51" t="s">
        <v>125</v>
      </c>
      <c r="O11" s="83">
        <f ca="1">SUMIF(Pmnt._LoanID,B3,Pmnt_PrincAmt)</f>
        <v>1933.59</v>
      </c>
      <c r="P11" s="26"/>
      <c r="Q11" s="10"/>
      <c r="R11" s="10"/>
      <c r="S11" s="10"/>
      <c r="T11" s="10"/>
      <c r="U11" s="10"/>
      <c r="V11" s="10"/>
      <c r="W11" s="10"/>
      <c r="X11" s="10"/>
      <c r="Y11" s="10"/>
      <c r="Z11" s="87"/>
      <c r="AA11" s="87"/>
      <c r="AB11" s="87"/>
      <c r="AC11" s="87"/>
      <c r="AD11" s="87"/>
      <c r="AE11" s="87"/>
      <c r="AF11" s="87"/>
      <c r="AG11" s="9"/>
      <c r="AH11" s="9"/>
      <c r="AI11" s="9"/>
      <c r="AJ11" s="9"/>
    </row>
    <row r="12" spans="1:36" s="6" customFormat="1" ht="21" x14ac:dyDescent="0.35">
      <c r="A12" s="63" t="s">
        <v>99</v>
      </c>
      <c r="B12" s="64">
        <f ca="1">IFERROR(MATCH(S5,Loan_Name,0)+3,"")</f>
        <v>4</v>
      </c>
      <c r="C12" s="5"/>
      <c r="D12" s="5"/>
      <c r="E12" s="9"/>
      <c r="F12" s="101"/>
      <c r="G12" s="9"/>
      <c r="H12" s="10"/>
      <c r="I12" s="10"/>
      <c r="J12" s="10"/>
      <c r="K12" s="10"/>
      <c r="L12" s="10"/>
      <c r="M12" s="10"/>
      <c r="N12" s="9"/>
      <c r="O12" s="9"/>
      <c r="P12" s="10"/>
      <c r="Q12" s="10"/>
      <c r="R12" s="77" t="s">
        <v>122</v>
      </c>
      <c r="S12" s="77"/>
      <c r="T12" s="85">
        <f ca="1">IFERROR(COUNTIF(Pmnt._LoanID,B13),0)</f>
        <v>5</v>
      </c>
      <c r="U12" s="77" t="s">
        <v>119</v>
      </c>
      <c r="V12" s="77"/>
      <c r="W12" s="78">
        <f ca="1">IFERROR(INDEX(Loans!$K$4:$K$99999,'Loan Manager'!B12-3,1),"")</f>
        <v>43891</v>
      </c>
      <c r="X12" s="10"/>
      <c r="Y12" s="10"/>
      <c r="Z12" s="88"/>
      <c r="AA12" s="88"/>
      <c r="AB12" s="88"/>
      <c r="AC12" s="88"/>
      <c r="AD12" s="88"/>
      <c r="AE12" s="88"/>
      <c r="AF12" s="88"/>
      <c r="AG12" s="9"/>
      <c r="AH12" s="9"/>
      <c r="AI12" s="9"/>
      <c r="AJ12" s="9"/>
    </row>
    <row r="13" spans="1:36" s="6" customFormat="1" ht="21" x14ac:dyDescent="0.35">
      <c r="A13" s="63" t="s">
        <v>105</v>
      </c>
      <c r="B13" s="64">
        <v>1</v>
      </c>
      <c r="C13" s="5"/>
      <c r="D13" s="5"/>
      <c r="E13" s="9"/>
      <c r="F13" s="101"/>
      <c r="G13" s="9"/>
      <c r="H13" s="30" t="s">
        <v>141</v>
      </c>
      <c r="I13" s="124">
        <v>1342.05</v>
      </c>
      <c r="J13" s="9"/>
      <c r="K13" s="30" t="s">
        <v>123</v>
      </c>
      <c r="L13" s="82">
        <v>43891</v>
      </c>
      <c r="M13" s="10"/>
      <c r="N13" s="10"/>
      <c r="O13" s="10"/>
      <c r="P13" s="10"/>
      <c r="Q13" s="10"/>
      <c r="R13" s="77" t="s">
        <v>7</v>
      </c>
      <c r="S13" s="77"/>
      <c r="T13" s="103">
        <f ca="1">IFERROR(INDEX(Loans!E4:E99999,'Loan Manager'!B12-3,1),"")</f>
        <v>250000</v>
      </c>
      <c r="U13" s="77" t="s">
        <v>121</v>
      </c>
      <c r="V13" s="77"/>
      <c r="W13" s="26">
        <f ca="1">IFERROR(INDEX(Loans!$M$4:$M$99999,'Loan Manager'!B12-3,1),"")</f>
        <v>30</v>
      </c>
      <c r="X13" s="10"/>
      <c r="Y13" s="10"/>
      <c r="Z13" s="46">
        <f>AF9+1</f>
        <v>43899</v>
      </c>
      <c r="AA13" s="46">
        <f>Z13+1</f>
        <v>43900</v>
      </c>
      <c r="AB13" s="46">
        <f t="shared" ref="AB13:AF13" si="1">AA13+1</f>
        <v>43901</v>
      </c>
      <c r="AC13" s="46">
        <f t="shared" si="1"/>
        <v>43902</v>
      </c>
      <c r="AD13" s="46">
        <f t="shared" si="1"/>
        <v>43903</v>
      </c>
      <c r="AE13" s="46">
        <f t="shared" si="1"/>
        <v>43904</v>
      </c>
      <c r="AF13" s="46">
        <f t="shared" si="1"/>
        <v>43905</v>
      </c>
      <c r="AG13" s="9"/>
      <c r="AH13" s="9"/>
      <c r="AI13" s="9"/>
      <c r="AJ13" s="9"/>
    </row>
    <row r="14" spans="1:36" s="6" customFormat="1" ht="21" x14ac:dyDescent="0.35">
      <c r="A14" s="63" t="s">
        <v>100</v>
      </c>
      <c r="B14" s="64">
        <v>6</v>
      </c>
      <c r="C14" s="5"/>
      <c r="D14" s="5"/>
      <c r="E14" s="9"/>
      <c r="F14" s="101"/>
      <c r="G14" s="9"/>
      <c r="H14" s="9"/>
      <c r="I14" s="9"/>
      <c r="J14" s="9"/>
      <c r="K14" s="9"/>
      <c r="L14" s="9"/>
      <c r="M14" s="10"/>
      <c r="N14" s="10"/>
      <c r="O14" s="10"/>
      <c r="P14" s="10"/>
      <c r="Q14" s="10"/>
      <c r="R14" s="77" t="s">
        <v>117</v>
      </c>
      <c r="S14" s="77"/>
      <c r="T14" s="103">
        <f ca="1">IFERROR(SUMIF(Pmnt._LoanID,B13,Pmnt_Amt),0)</f>
        <v>6850.03</v>
      </c>
      <c r="U14" s="77" t="s">
        <v>120</v>
      </c>
      <c r="V14" s="77"/>
      <c r="W14" s="78">
        <f ca="1">IFERROR(W12+W13,"")</f>
        <v>43921</v>
      </c>
      <c r="X14" s="10"/>
      <c r="Y14" s="10"/>
      <c r="Z14" s="86" t="str">
        <f ca="1">IFERROR(INDEX(Loan_Name,MATCH(Z13,Loan_NextPmnt,0),1),"")</f>
        <v/>
      </c>
      <c r="AA14" s="86" t="str">
        <f ca="1">IFERROR(INDEX(Loan_Name,MATCH(AA13,Loan_NextPmnt,0),1),"")</f>
        <v>Fredders Loan</v>
      </c>
      <c r="AB14" s="86" t="str">
        <f ca="1">IFERROR(INDEX(Loan_Name,MATCH(AB13,Loan_NextPmnt,0),1),"")</f>
        <v/>
      </c>
      <c r="AC14" s="86" t="str">
        <f ca="1">IFERROR(INDEX(Loan_Name,MATCH(AC13,Loan_NextPmnt,0),1),"")</f>
        <v/>
      </c>
      <c r="AD14" s="86" t="str">
        <f ca="1">IFERROR(INDEX(Loan_Name,MATCH(AD13,Loan_NextPmnt,0),1),"")</f>
        <v/>
      </c>
      <c r="AE14" s="86" t="str">
        <f ca="1">IFERROR(INDEX(Loan_Name,MATCH(AE13,Loan_NextPmnt,0),1),"")</f>
        <v/>
      </c>
      <c r="AF14" s="86" t="str">
        <f ca="1">IFERROR(INDEX(Loan_Name,MATCH(AF13,Loan_NextPmnt,0),1),"")</f>
        <v>Car Loan</v>
      </c>
      <c r="AG14" s="9"/>
      <c r="AH14" s="9"/>
      <c r="AI14" s="9"/>
      <c r="AJ14" s="9"/>
    </row>
    <row r="15" spans="1:36" ht="18" customHeight="1" x14ac:dyDescent="0.3">
      <c r="A15" s="63" t="s">
        <v>101</v>
      </c>
      <c r="B15" s="64">
        <f ca="1">IFERROR(MATCH(B14,Pmnt_ID,0)+3,"")</f>
        <v>8</v>
      </c>
      <c r="C15" s="4"/>
      <c r="D15" s="4"/>
      <c r="E15" s="1"/>
      <c r="F15" s="102"/>
      <c r="G15" s="1"/>
      <c r="H15" s="17" t="s">
        <v>131</v>
      </c>
      <c r="I15" s="18"/>
      <c r="J15" s="18"/>
      <c r="K15" s="18"/>
      <c r="L15" s="19"/>
      <c r="M15" s="1"/>
      <c r="N15" s="1"/>
      <c r="O15" s="1"/>
      <c r="P15" s="1"/>
      <c r="Q15" s="1"/>
      <c r="R15" s="77" t="s">
        <v>16</v>
      </c>
      <c r="S15" s="77"/>
      <c r="T15" s="103">
        <f ca="1">IFERROR(SUMIF(Pmnt._LoanID,B13,Pmnt_IntAmt),"")</f>
        <v>4916.4399999999996</v>
      </c>
      <c r="U15" s="10"/>
      <c r="V15" s="51" t="s">
        <v>142</v>
      </c>
      <c r="W15" s="103">
        <f ca="1">IFERROR(INDEX(Loans!J4:J99999,'Loan Manager'!B12-3,1),"")</f>
        <v>1342.05</v>
      </c>
      <c r="X15" s="1"/>
      <c r="Y15" s="1"/>
      <c r="Z15" s="87"/>
      <c r="AA15" s="87"/>
      <c r="AB15" s="87"/>
      <c r="AC15" s="87"/>
      <c r="AD15" s="87"/>
      <c r="AE15" s="87"/>
      <c r="AF15" s="87"/>
      <c r="AG15" s="1"/>
      <c r="AH15" s="1"/>
      <c r="AI15" s="1"/>
      <c r="AJ15" s="1"/>
    </row>
    <row r="16" spans="1:36" ht="18" customHeight="1" x14ac:dyDescent="0.3">
      <c r="A16" s="63" t="s">
        <v>111</v>
      </c>
      <c r="B16" s="64">
        <f ca="1">IFERROR(MAX(Pmnt_ID)+1,1)</f>
        <v>10</v>
      </c>
      <c r="C16" s="4"/>
      <c r="D16" s="4"/>
      <c r="E16" s="1"/>
      <c r="F16" s="102"/>
      <c r="G16" s="1"/>
      <c r="H16" s="20" t="s">
        <v>43</v>
      </c>
      <c r="I16" s="21" t="s">
        <v>44</v>
      </c>
      <c r="J16" s="22" t="s">
        <v>47</v>
      </c>
      <c r="K16" s="22"/>
      <c r="L16" s="23" t="s">
        <v>48</v>
      </c>
      <c r="M16" s="1"/>
      <c r="N16" s="1"/>
      <c r="O16" s="1"/>
      <c r="P16" s="1"/>
      <c r="Q16" s="1"/>
      <c r="R16" s="77" t="s">
        <v>118</v>
      </c>
      <c r="S16" s="77"/>
      <c r="T16" s="103">
        <f ca="1">IFERROR(SUMIF(Pmnt._LoanID,B13,Pmnt_PrincAmt),"")</f>
        <v>1933.59</v>
      </c>
      <c r="U16" s="77" t="s">
        <v>134</v>
      </c>
      <c r="V16" s="77"/>
      <c r="W16" s="103">
        <f ca="1">IFERROR(T13-T16,"")</f>
        <v>248066.41</v>
      </c>
      <c r="X16" s="1"/>
      <c r="Y16" s="1"/>
      <c r="Z16" s="88"/>
      <c r="AA16" s="88"/>
      <c r="AB16" s="88"/>
      <c r="AC16" s="88"/>
      <c r="AD16" s="88"/>
      <c r="AE16" s="88"/>
      <c r="AF16" s="88"/>
      <c r="AG16" s="1"/>
      <c r="AH16" s="1"/>
      <c r="AI16" s="1"/>
      <c r="AJ16" s="1"/>
    </row>
    <row r="17" spans="1:36" ht="18" customHeight="1" x14ac:dyDescent="0.3">
      <c r="A17" s="63" t="s">
        <v>112</v>
      </c>
      <c r="B17" s="64" t="b">
        <v>0</v>
      </c>
      <c r="C17" s="4"/>
      <c r="D17" s="4"/>
      <c r="E17" s="1"/>
      <c r="F17" s="102"/>
      <c r="G17" s="98">
        <v>3</v>
      </c>
      <c r="H17" s="92">
        <v>44164</v>
      </c>
      <c r="I17" s="93">
        <v>1342.05</v>
      </c>
      <c r="J17" s="94">
        <v>309.05</v>
      </c>
      <c r="K17" s="94"/>
      <c r="L17" s="93">
        <v>1033</v>
      </c>
      <c r="M17" s="1"/>
      <c r="N17" s="1"/>
      <c r="O17" s="1"/>
      <c r="P17" s="1"/>
      <c r="Q17" s="1"/>
      <c r="R17" s="77"/>
      <c r="S17" s="77"/>
      <c r="T17" s="1"/>
      <c r="U17" s="1"/>
      <c r="V17" s="1"/>
      <c r="W17" s="1"/>
      <c r="X17" s="1"/>
      <c r="Y17" s="1"/>
      <c r="Z17" s="46">
        <f>AF13+1</f>
        <v>43906</v>
      </c>
      <c r="AA17" s="46">
        <f>Z17+1</f>
        <v>43907</v>
      </c>
      <c r="AB17" s="46">
        <f t="shared" ref="AB17:AF17" si="2">AA17+1</f>
        <v>43908</v>
      </c>
      <c r="AC17" s="46">
        <f t="shared" si="2"/>
        <v>43909</v>
      </c>
      <c r="AD17" s="46">
        <f t="shared" si="2"/>
        <v>43910</v>
      </c>
      <c r="AE17" s="46">
        <f t="shared" si="2"/>
        <v>43911</v>
      </c>
      <c r="AF17" s="46">
        <f t="shared" si="2"/>
        <v>43912</v>
      </c>
      <c r="AG17" s="1"/>
      <c r="AH17" s="1"/>
      <c r="AI17" s="1"/>
      <c r="AJ17" s="1"/>
    </row>
    <row r="18" spans="1:36" ht="18" customHeight="1" x14ac:dyDescent="0.3">
      <c r="A18" s="63" t="s">
        <v>113</v>
      </c>
      <c r="B18" s="64">
        <f ca="1">IFERROR(INDEX(Admin!$C$5:$C$12,MATCH(INDEX(Loans!H4:H99999,'Loan Manager'!B12-3,1),Frequency,0),1),"")</f>
        <v>12</v>
      </c>
      <c r="C18" s="4"/>
      <c r="D18" s="4"/>
      <c r="E18" s="1"/>
      <c r="F18" s="102"/>
      <c r="G18" s="98">
        <v>6</v>
      </c>
      <c r="H18" s="92">
        <v>44164</v>
      </c>
      <c r="I18" s="93">
        <v>1342.05</v>
      </c>
      <c r="J18" s="95">
        <v>554.67999999999995</v>
      </c>
      <c r="K18" s="95"/>
      <c r="L18" s="93">
        <v>787.37</v>
      </c>
      <c r="M18" s="1"/>
      <c r="N18" s="1"/>
      <c r="O18" s="1"/>
      <c r="P18" s="1"/>
      <c r="Q18" s="1"/>
      <c r="R18" s="77"/>
      <c r="S18" s="77"/>
      <c r="T18" s="1"/>
      <c r="U18" s="1"/>
      <c r="V18" s="1"/>
      <c r="W18" s="1"/>
      <c r="X18" s="1"/>
      <c r="Y18" s="1"/>
      <c r="Z18" s="86" t="str">
        <f ca="1">IFERROR(INDEX(Loan_Name,MATCH(Z17,Loan_NextPmnt,0),1),"")</f>
        <v/>
      </c>
      <c r="AA18" s="86" t="str">
        <f ca="1">IFERROR(INDEX(Loan_Name,MATCH(AA17,Loan_NextPmnt,0),1),"")</f>
        <v/>
      </c>
      <c r="AB18" s="86" t="str">
        <f ca="1">IFERROR(INDEX(Loan_Name,MATCH(AB17,Loan_NextPmnt,0),1),"")</f>
        <v/>
      </c>
      <c r="AC18" s="86" t="str">
        <f ca="1">IFERROR(INDEX(Loan_Name,MATCH(AC17,Loan_NextPmnt,0),1),"")</f>
        <v/>
      </c>
      <c r="AD18" s="86" t="str">
        <f ca="1">IFERROR(INDEX(Loan_Name,MATCH(AD17,Loan_NextPmnt,0),1),"")</f>
        <v>Visa Pmnt</v>
      </c>
      <c r="AE18" s="86" t="str">
        <f ca="1">IFERROR(INDEX(Loan_Name,MATCH(AE17,Loan_NextPmnt,0),1),"")</f>
        <v/>
      </c>
      <c r="AF18" s="86" t="str">
        <f ca="1">IFERROR(INDEX(Loan_Name,MATCH(AF17,Loan_NextPmnt,0),1),"")</f>
        <v/>
      </c>
      <c r="AG18" s="1"/>
      <c r="AH18" s="1"/>
      <c r="AI18" s="1"/>
      <c r="AJ18" s="1"/>
    </row>
    <row r="19" spans="1:36" ht="18" customHeight="1" x14ac:dyDescent="0.25">
      <c r="A19" s="63" t="s">
        <v>116</v>
      </c>
      <c r="B19" s="64">
        <f ca="1">IFERROR(INDEX(Loans!$L$4:$L$99999,$B$12-3,1),"")</f>
        <v>360</v>
      </c>
      <c r="C19" s="4"/>
      <c r="D19" s="4"/>
      <c r="E19" s="1"/>
      <c r="F19" s="102"/>
      <c r="G19" s="98">
        <v>8</v>
      </c>
      <c r="H19" s="92">
        <v>44164</v>
      </c>
      <c r="I19" s="93">
        <v>1481.83</v>
      </c>
      <c r="J19" s="95">
        <v>451.76</v>
      </c>
      <c r="K19" s="97"/>
      <c r="L19" s="93">
        <v>1030.07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87"/>
      <c r="AA19" s="87"/>
      <c r="AB19" s="87"/>
      <c r="AC19" s="87"/>
      <c r="AD19" s="87"/>
      <c r="AE19" s="87"/>
      <c r="AF19" s="87"/>
      <c r="AG19" s="1"/>
      <c r="AH19" s="1"/>
      <c r="AI19" s="1"/>
      <c r="AJ19" s="1"/>
    </row>
    <row r="20" spans="1:36" ht="18" customHeight="1" x14ac:dyDescent="0.25">
      <c r="A20" s="63" t="s">
        <v>114</v>
      </c>
      <c r="B20" s="74">
        <f ca="1">IFERROR(INDEX(Loans!$F$4:$F$99999,'Loan Manager'!$B$12-3,1),"")</f>
        <v>0.05</v>
      </c>
      <c r="C20" s="4"/>
      <c r="D20" s="4"/>
      <c r="E20" s="1"/>
      <c r="F20" s="102"/>
      <c r="G20" s="98">
        <v>2</v>
      </c>
      <c r="H20" s="92">
        <v>44163</v>
      </c>
      <c r="I20" s="93">
        <v>1342.05</v>
      </c>
      <c r="J20" s="95">
        <v>309.05</v>
      </c>
      <c r="K20" s="97"/>
      <c r="L20" s="93">
        <v>1033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88"/>
      <c r="AA20" s="88"/>
      <c r="AB20" s="88"/>
      <c r="AC20" s="88"/>
      <c r="AD20" s="88"/>
      <c r="AE20" s="88"/>
      <c r="AF20" s="88"/>
      <c r="AG20" s="1"/>
      <c r="AH20" s="1"/>
      <c r="AI20" s="1"/>
      <c r="AJ20" s="1"/>
    </row>
    <row r="21" spans="1:36" ht="18" customHeight="1" x14ac:dyDescent="0.3">
      <c r="A21" s="75" t="s">
        <v>128</v>
      </c>
      <c r="B21" s="74">
        <f ca="1">IFERROR(COUNTIF(Pmnt._LoanID,B13)+1,1)</f>
        <v>6</v>
      </c>
      <c r="C21" s="4"/>
      <c r="D21" s="4"/>
      <c r="E21" s="1"/>
      <c r="F21" s="102"/>
      <c r="G21" s="98">
        <v>1</v>
      </c>
      <c r="H21" s="92">
        <v>44134</v>
      </c>
      <c r="I21" s="93">
        <v>1342.05</v>
      </c>
      <c r="J21" s="95">
        <v>309.05</v>
      </c>
      <c r="K21" s="97"/>
      <c r="L21" s="93">
        <v>1033</v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46">
        <f>IF(AF17="","",IF(MONTH(AF17+1)&lt;&gt;MONTH(AF17),"",AF17+1))</f>
        <v>43913</v>
      </c>
      <c r="AA21" s="46">
        <f>IF(Z21="","",IF(MONTH(Z21+1)&lt;&gt;MONTH(Z21),"",Z21+1))</f>
        <v>43914</v>
      </c>
      <c r="AB21" s="46">
        <f t="shared" ref="AB21:AF21" si="3">IF(AA21="","",IF(MONTH(AA21+1)&lt;&gt;MONTH(AA21),"",AA21+1))</f>
        <v>43915</v>
      </c>
      <c r="AC21" s="46">
        <f t="shared" si="3"/>
        <v>43916</v>
      </c>
      <c r="AD21" s="46">
        <f t="shared" si="3"/>
        <v>43917</v>
      </c>
      <c r="AE21" s="46">
        <f t="shared" si="3"/>
        <v>43918</v>
      </c>
      <c r="AF21" s="46">
        <f t="shared" si="3"/>
        <v>43919</v>
      </c>
      <c r="AG21" s="1"/>
      <c r="AH21" s="1"/>
      <c r="AI21" s="1"/>
      <c r="AJ21" s="1"/>
    </row>
    <row r="22" spans="1:36" ht="18" customHeight="1" x14ac:dyDescent="0.25">
      <c r="A22" s="75" t="s">
        <v>115</v>
      </c>
      <c r="B22" s="76">
        <f ca="1">PPMT((B20/B18),B21,B19,-T13-T14)</f>
        <v>315.10138718398446</v>
      </c>
      <c r="C22" s="4"/>
      <c r="D22" s="4"/>
      <c r="E22" s="1"/>
      <c r="F22" s="102"/>
      <c r="G22" s="98"/>
      <c r="H22" s="121"/>
      <c r="I22" s="122"/>
      <c r="J22" s="95"/>
      <c r="K22" s="97"/>
      <c r="L22" s="12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86" t="str">
        <f ca="1">IFERROR(INDEX(Loan_Name,MATCH(Z21,Loan_NextPmnt,0),1),"")</f>
        <v/>
      </c>
      <c r="AA22" s="86" t="str">
        <f ca="1">IFERROR(INDEX(Loan_Name,MATCH(AA21,Loan_NextPmnt,0),1),"")</f>
        <v/>
      </c>
      <c r="AB22" s="86" t="str">
        <f ca="1">IFERROR(INDEX(Loan_Name,MATCH(AB21,Loan_NextPmnt,0),1),"")</f>
        <v>David's Loan</v>
      </c>
      <c r="AC22" s="86" t="str">
        <f ca="1">IFERROR(INDEX(Loan_Name,MATCH(AC21,Loan_NextPmnt,0),1),"")</f>
        <v/>
      </c>
      <c r="AD22" s="86" t="str">
        <f ca="1">IFERROR(INDEX(Loan_Name,MATCH(AD21,Loan_NextPmnt,0),1),"")</f>
        <v/>
      </c>
      <c r="AE22" s="86" t="str">
        <f ca="1">IFERROR(INDEX(Loan_Name,MATCH(AE21,Loan_NextPmnt,0),1),"")</f>
        <v/>
      </c>
      <c r="AF22" s="86" t="str">
        <f ca="1">IFERROR(INDEX(Loan_Name,MATCH(AF21,Loan_NextPmnt,0),1),"")</f>
        <v/>
      </c>
      <c r="AG22" s="1"/>
      <c r="AH22" s="1"/>
      <c r="AI22" s="1"/>
      <c r="AJ22" s="1"/>
    </row>
    <row r="23" spans="1:36" ht="18" customHeight="1" x14ac:dyDescent="0.25">
      <c r="A23" s="73" t="s">
        <v>132</v>
      </c>
      <c r="B23" s="90">
        <f ca="1">PMT((B20/B18),B19,-T13)</f>
        <v>1342.0540575303476</v>
      </c>
      <c r="C23" s="4"/>
      <c r="D23" s="4"/>
      <c r="E23" s="1"/>
      <c r="F23" s="102"/>
      <c r="G23" s="98"/>
      <c r="H23" s="96"/>
      <c r="I23" s="96"/>
      <c r="J23" s="97"/>
      <c r="K23" s="97"/>
      <c r="L23" s="96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87"/>
      <c r="AA23" s="87"/>
      <c r="AB23" s="87"/>
      <c r="AC23" s="87"/>
      <c r="AD23" s="87"/>
      <c r="AE23" s="87"/>
      <c r="AF23" s="87"/>
      <c r="AG23" s="1"/>
      <c r="AH23" s="1"/>
      <c r="AI23" s="1"/>
      <c r="AJ23" s="1"/>
    </row>
    <row r="24" spans="1:36" ht="18" customHeight="1" x14ac:dyDescent="0.25">
      <c r="A24" s="43" t="s">
        <v>64</v>
      </c>
      <c r="B24" s="44">
        <f>DATE(AE3,MATCH(AC3,Months,0),1)</f>
        <v>43891</v>
      </c>
      <c r="C24" s="4"/>
      <c r="D24" s="4"/>
      <c r="E24" s="1"/>
      <c r="F24" s="102"/>
      <c r="G24" s="98"/>
      <c r="H24" s="96"/>
      <c r="I24" s="96"/>
      <c r="J24" s="97"/>
      <c r="K24" s="97"/>
      <c r="L24" s="96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88"/>
      <c r="AA24" s="88"/>
      <c r="AB24" s="88"/>
      <c r="AC24" s="88"/>
      <c r="AD24" s="88"/>
      <c r="AE24" s="88"/>
      <c r="AF24" s="88"/>
      <c r="AG24" s="1"/>
      <c r="AH24" s="1"/>
      <c r="AI24" s="1"/>
      <c r="AJ24" s="1"/>
    </row>
    <row r="25" spans="1:36" ht="18" customHeight="1" x14ac:dyDescent="0.3">
      <c r="A25" s="43" t="s">
        <v>53</v>
      </c>
      <c r="B25" s="40">
        <f>MATCH(AA3,Weekdays,0)</f>
        <v>1</v>
      </c>
      <c r="C25" s="4"/>
      <c r="D25" s="4"/>
      <c r="E25" s="1"/>
      <c r="F25" s="102"/>
      <c r="G25" s="98"/>
      <c r="H25" s="96"/>
      <c r="I25" s="96"/>
      <c r="J25" s="97"/>
      <c r="K25" s="97"/>
      <c r="L25" s="96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46">
        <f>IF(AF21="","",IF(MONTH(AF21+1)&lt;&gt;MONTH(AF21),"",AF21+1))</f>
        <v>43920</v>
      </c>
      <c r="AA25" s="46">
        <f>IF(Z25="","",IF(MONTH(Z25+1)&lt;&gt;MONTH(Z25),"",Z25+1))</f>
        <v>43921</v>
      </c>
      <c r="AB25" s="46" t="str">
        <f t="shared" ref="AB25:AF25" si="4">IF(AA25="","",IF(MONTH(AA25+1)&lt;&gt;MONTH(AA25),"",AA25+1))</f>
        <v/>
      </c>
      <c r="AC25" s="46" t="str">
        <f t="shared" si="4"/>
        <v/>
      </c>
      <c r="AD25" s="46" t="str">
        <f t="shared" si="4"/>
        <v/>
      </c>
      <c r="AE25" s="46" t="str">
        <f t="shared" si="4"/>
        <v/>
      </c>
      <c r="AF25" s="46" t="str">
        <f t="shared" si="4"/>
        <v/>
      </c>
      <c r="AG25" s="1"/>
      <c r="AH25" s="1"/>
      <c r="AI25" s="1"/>
      <c r="AJ25" s="1"/>
    </row>
    <row r="26" spans="1:36" ht="18" customHeight="1" x14ac:dyDescent="0.25">
      <c r="A26" s="42" t="s">
        <v>57</v>
      </c>
      <c r="B26" s="42" t="s">
        <v>65</v>
      </c>
      <c r="C26" s="4"/>
      <c r="D26" s="4"/>
      <c r="E26" s="1"/>
      <c r="F26" s="102"/>
      <c r="G26" s="98"/>
      <c r="H26" s="96"/>
      <c r="I26" s="96"/>
      <c r="J26" s="97"/>
      <c r="K26" s="97"/>
      <c r="L26" s="96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86" t="str">
        <f ca="1">IFERROR(INDEX(Loan_Name,MATCH(Z25,Loan_NextPmnt,0),1),"")</f>
        <v/>
      </c>
      <c r="AA26" s="86" t="str">
        <f ca="1">IFERROR(INDEX(Loan_Name,MATCH(AA25,Loan_NextPmnt,0),1),"")</f>
        <v/>
      </c>
      <c r="AB26" s="86" t="str">
        <f ca="1">IFERROR(INDEX(Loan_Name,MATCH(AB25,Loan_NextPmnt,0),1),"")</f>
        <v/>
      </c>
      <c r="AC26" s="86" t="str">
        <f ca="1">IFERROR(INDEX(Loan_Name,MATCH(AC25,Loan_NextPmnt,0),1),"")</f>
        <v/>
      </c>
      <c r="AD26" s="86" t="str">
        <f ca="1">IFERROR(INDEX(Loan_Name,MATCH(AD25,Loan_NextPmnt,0),1),"")</f>
        <v/>
      </c>
      <c r="AE26" s="86" t="str">
        <f ca="1">IFERROR(INDEX(Loan_Name,MATCH(AE25,Loan_NextPmnt,0),1),"")</f>
        <v/>
      </c>
      <c r="AF26" s="86" t="str">
        <f ca="1">IFERROR(INDEX(Loan_Name,MATCH(AF25,Loan_NextPmnt,0),1),"")</f>
        <v/>
      </c>
      <c r="AG26" s="1"/>
      <c r="AH26" s="1"/>
      <c r="AI26" s="1"/>
      <c r="AJ26" s="1"/>
    </row>
    <row r="27" spans="1:36" ht="18" customHeight="1" x14ac:dyDescent="0.25">
      <c r="A27" s="39" t="s">
        <v>54</v>
      </c>
      <c r="B27" s="39" t="s">
        <v>66</v>
      </c>
      <c r="C27" s="4"/>
      <c r="D27" s="4"/>
      <c r="E27" s="1"/>
      <c r="F27" s="102"/>
      <c r="G27" s="98"/>
      <c r="H27" s="96"/>
      <c r="I27" s="96"/>
      <c r="J27" s="97"/>
      <c r="K27" s="97"/>
      <c r="L27" s="96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87"/>
      <c r="AA27" s="87"/>
      <c r="AB27" s="87"/>
      <c r="AC27" s="87"/>
      <c r="AD27" s="87"/>
      <c r="AE27" s="87"/>
      <c r="AF27" s="87"/>
      <c r="AG27" s="1"/>
      <c r="AH27" s="1"/>
      <c r="AI27" s="1"/>
      <c r="AJ27" s="1"/>
    </row>
    <row r="28" spans="1:36" ht="18" customHeight="1" x14ac:dyDescent="0.25">
      <c r="A28" s="39" t="s">
        <v>58</v>
      </c>
      <c r="B28" s="39" t="s">
        <v>67</v>
      </c>
      <c r="C28" s="4"/>
      <c r="D28" s="4"/>
      <c r="E28" s="1"/>
      <c r="F28" s="102"/>
      <c r="G28" s="98"/>
      <c r="H28" s="96"/>
      <c r="I28" s="96"/>
      <c r="J28" s="97"/>
      <c r="K28" s="97"/>
      <c r="L28" s="96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88"/>
      <c r="AA28" s="88"/>
      <c r="AB28" s="88"/>
      <c r="AC28" s="88"/>
      <c r="AD28" s="88"/>
      <c r="AE28" s="88"/>
      <c r="AF28" s="88"/>
      <c r="AG28" s="1"/>
      <c r="AH28" s="1"/>
      <c r="AI28" s="1"/>
      <c r="AJ28" s="1"/>
    </row>
    <row r="29" spans="1:36" ht="18" customHeight="1" x14ac:dyDescent="0.25">
      <c r="A29" s="39" t="s">
        <v>59</v>
      </c>
      <c r="B29" s="39" t="s">
        <v>68</v>
      </c>
      <c r="C29" s="4"/>
      <c r="D29" s="4"/>
      <c r="E29" s="1"/>
      <c r="F29" s="102"/>
      <c r="G29" s="98"/>
      <c r="H29" s="96"/>
      <c r="I29" s="96"/>
      <c r="J29" s="97"/>
      <c r="K29" s="97"/>
      <c r="L29" s="96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ht="18" customHeight="1" x14ac:dyDescent="0.25">
      <c r="A30" s="39" t="s">
        <v>60</v>
      </c>
      <c r="B30" s="39" t="s">
        <v>69</v>
      </c>
      <c r="C30" s="4"/>
      <c r="D30" s="4"/>
      <c r="E30" s="1"/>
      <c r="F30" s="55"/>
      <c r="G30" s="98"/>
      <c r="H30" s="96"/>
      <c r="I30" s="96"/>
      <c r="J30" s="97"/>
      <c r="K30" s="97"/>
      <c r="L30" s="96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ht="18" customHeight="1" x14ac:dyDescent="0.25">
      <c r="A31" s="39" t="s">
        <v>61</v>
      </c>
      <c r="B31" s="39" t="s">
        <v>70</v>
      </c>
      <c r="C31" s="4"/>
      <c r="D31" s="4"/>
      <c r="E31" s="1"/>
      <c r="F31" s="55"/>
      <c r="G31" s="98"/>
      <c r="H31" s="96"/>
      <c r="I31" s="96"/>
      <c r="J31" s="97"/>
      <c r="K31" s="97"/>
      <c r="L31" s="96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ht="18" customHeight="1" x14ac:dyDescent="0.25">
      <c r="A32" s="39" t="s">
        <v>62</v>
      </c>
      <c r="B32" s="39" t="s">
        <v>71</v>
      </c>
      <c r="C32" s="4"/>
      <c r="D32" s="4"/>
      <c r="E32" s="1"/>
      <c r="F32" s="55"/>
      <c r="G32" s="98"/>
      <c r="H32" s="96"/>
      <c r="I32" s="96"/>
      <c r="J32" s="97"/>
      <c r="K32" s="97"/>
      <c r="L32" s="96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ht="18" customHeight="1" x14ac:dyDescent="0.25">
      <c r="A33" s="39" t="s">
        <v>63</v>
      </c>
      <c r="B33" s="39" t="s">
        <v>72</v>
      </c>
      <c r="C33" s="4"/>
      <c r="D33" s="4"/>
      <c r="E33" s="1"/>
      <c r="F33" s="55"/>
      <c r="G33" s="98"/>
      <c r="H33" s="96"/>
      <c r="I33" s="96"/>
      <c r="J33" s="97"/>
      <c r="K33" s="97"/>
      <c r="L33" s="96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ht="15.75" x14ac:dyDescent="0.25">
      <c r="A34" s="41" t="s">
        <v>78</v>
      </c>
      <c r="B34" s="39" t="s">
        <v>73</v>
      </c>
      <c r="C34" s="4"/>
      <c r="D34" s="4"/>
      <c r="E34" s="1"/>
      <c r="F34" s="55"/>
      <c r="G34" s="98"/>
      <c r="H34" s="96"/>
      <c r="I34" s="96"/>
      <c r="J34" s="97"/>
      <c r="K34" s="97"/>
      <c r="L34" s="96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ht="15.75" x14ac:dyDescent="0.25">
      <c r="A35" s="45">
        <v>2020</v>
      </c>
      <c r="B35" s="39" t="s">
        <v>74</v>
      </c>
      <c r="C35" s="4"/>
      <c r="D35" s="4"/>
      <c r="E35" s="1"/>
      <c r="F35" s="55"/>
      <c r="G35" s="98"/>
      <c r="H35" s="96"/>
      <c r="I35" s="96"/>
      <c r="J35" s="97"/>
      <c r="K35" s="97"/>
      <c r="L35" s="9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ht="15.75" x14ac:dyDescent="0.25">
      <c r="A36" s="45">
        <v>2021</v>
      </c>
      <c r="B36" s="39" t="s">
        <v>75</v>
      </c>
      <c r="C36" s="4"/>
      <c r="D36" s="4"/>
      <c r="E36" s="1"/>
      <c r="F36" s="55"/>
      <c r="G36" s="98"/>
      <c r="H36" s="96"/>
      <c r="I36" s="96"/>
      <c r="J36" s="97"/>
      <c r="K36" s="97"/>
      <c r="L36" s="96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ht="15.75" x14ac:dyDescent="0.25">
      <c r="A37" s="45">
        <v>2022</v>
      </c>
      <c r="B37" s="39" t="s">
        <v>76</v>
      </c>
      <c r="C37" s="4"/>
      <c r="D37" s="4"/>
      <c r="E37" s="1"/>
      <c r="F37" s="55"/>
      <c r="G37" s="98"/>
      <c r="H37" s="96"/>
      <c r="I37" s="96"/>
      <c r="J37" s="97"/>
      <c r="K37" s="97"/>
      <c r="L37" s="96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ht="15.75" x14ac:dyDescent="0.25">
      <c r="A38" s="45">
        <v>2023</v>
      </c>
      <c r="B38" s="39" t="s">
        <v>77</v>
      </c>
      <c r="C38" s="4"/>
      <c r="D38" s="4"/>
      <c r="E38" s="1"/>
      <c r="F38" s="55"/>
      <c r="G38" s="98"/>
      <c r="H38" s="96"/>
      <c r="I38" s="96"/>
      <c r="J38" s="97"/>
      <c r="K38" s="97"/>
      <c r="L38" s="96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x14ac:dyDescent="0.25">
      <c r="A39" s="108" t="s">
        <v>144</v>
      </c>
      <c r="B39" s="109" t="str">
        <f ca="1">"Total Loaned Out "&amp;CHAR(10)&amp;TEXT(SUMIF(Loan_Type,"Loaned Out",Loan_Amt),"$* #,##0.00")</f>
        <v>Total Loaned Out 
$35,000.00</v>
      </c>
      <c r="C39" s="4"/>
      <c r="D39" s="4"/>
      <c r="E39" s="1"/>
      <c r="F39" s="55"/>
      <c r="G39" s="98"/>
      <c r="H39" s="96"/>
      <c r="I39" s="96"/>
      <c r="J39" s="97"/>
      <c r="K39" s="97"/>
      <c r="L39" s="96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x14ac:dyDescent="0.25">
      <c r="A40" s="108" t="s">
        <v>145</v>
      </c>
      <c r="B40" s="109" t="str">
        <f ca="1">"Total Owed "&amp;CHAR(10)&amp;TEXT(SUMIF(Loan_Type,"Loan Taken",Loan_Amt),"$* #,##0.00")</f>
        <v>Total Owed 
$300,000.00</v>
      </c>
      <c r="C40" s="4"/>
      <c r="D40" s="4"/>
      <c r="E40" s="1"/>
      <c r="F40" s="55"/>
      <c r="G40" s="98"/>
      <c r="H40" s="96"/>
      <c r="I40" s="96"/>
      <c r="J40" s="97"/>
      <c r="K40" s="97"/>
      <c r="L40" s="96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x14ac:dyDescent="0.25">
      <c r="A41" s="108" t="s">
        <v>146</v>
      </c>
      <c r="B41" s="109" t="str">
        <f ca="1">"Total Interest Earned "&amp;CHAR(10)&amp;TEXT(SUMIF(Pmnt_LoanType,"Loaned Out",Pmnt_IntAmt),"$* #,##0.00")</f>
        <v>Total Interest Earned 
$35.73</v>
      </c>
      <c r="C41" s="4"/>
      <c r="D41" s="4"/>
      <c r="E41" s="1"/>
      <c r="F41" s="55"/>
      <c r="G41" s="98"/>
      <c r="H41" s="96"/>
      <c r="I41" s="96"/>
      <c r="J41" s="97"/>
      <c r="K41" s="97"/>
      <c r="L41" s="96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x14ac:dyDescent="0.25">
      <c r="A42" s="108" t="s">
        <v>147</v>
      </c>
      <c r="B42" s="109" t="str">
        <f ca="1">"Total Interest Paid "&amp;CHAR(10)&amp;TEXT(SUMIF(Pmnt_LoanType,"Loan Taken",Pmnt_IntAmt),"$* #,##0.00")</f>
        <v>Total Interest Paid 
$5,015.83</v>
      </c>
      <c r="C42" s="4"/>
      <c r="D42" s="4"/>
      <c r="E42" s="1"/>
      <c r="F42" s="55"/>
      <c r="G42" s="98"/>
      <c r="H42" s="96"/>
      <c r="I42" s="96"/>
      <c r="J42" s="97"/>
      <c r="K42" s="97"/>
      <c r="L42" s="96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x14ac:dyDescent="0.25">
      <c r="A43" s="2"/>
      <c r="B43" s="2"/>
      <c r="C43" s="4"/>
      <c r="D43" s="4"/>
      <c r="E43" s="1"/>
      <c r="F43" s="55"/>
      <c r="G43" s="98"/>
      <c r="H43" s="96"/>
      <c r="I43" s="96"/>
      <c r="J43" s="97"/>
      <c r="K43" s="97"/>
      <c r="L43" s="96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x14ac:dyDescent="0.25">
      <c r="A44" s="2"/>
      <c r="B44" s="2"/>
      <c r="C44" s="4"/>
      <c r="D44" s="4"/>
      <c r="E44" s="1"/>
      <c r="F44" s="55"/>
      <c r="G44" s="98"/>
      <c r="H44" s="96"/>
      <c r="I44" s="96"/>
      <c r="J44" s="97"/>
      <c r="K44" s="97"/>
      <c r="L44" s="96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x14ac:dyDescent="0.25">
      <c r="A45" s="2"/>
      <c r="B45" s="2"/>
      <c r="C45" s="4"/>
      <c r="D45" s="4"/>
      <c r="E45" s="1"/>
      <c r="F45" s="55"/>
      <c r="G45" s="98"/>
      <c r="H45" s="96"/>
      <c r="I45" s="96"/>
      <c r="J45" s="97"/>
      <c r="K45" s="97"/>
      <c r="L45" s="96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x14ac:dyDescent="0.25">
      <c r="A46" s="2"/>
      <c r="B46" s="2"/>
      <c r="C46" s="4"/>
      <c r="D46" s="4"/>
      <c r="E46" s="1"/>
      <c r="F46" s="55"/>
      <c r="G46" s="98"/>
      <c r="H46" s="96"/>
      <c r="I46" s="96"/>
      <c r="J46" s="97"/>
      <c r="K46" s="97"/>
      <c r="L46" s="96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x14ac:dyDescent="0.25">
      <c r="A47" s="2"/>
      <c r="B47" s="2"/>
      <c r="C47" s="4"/>
      <c r="D47" s="4"/>
      <c r="E47" s="1"/>
      <c r="F47" s="55"/>
      <c r="G47" s="98"/>
      <c r="H47" s="96"/>
      <c r="I47" s="96"/>
      <c r="J47" s="97"/>
      <c r="K47" s="97"/>
      <c r="L47" s="96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x14ac:dyDescent="0.25">
      <c r="A48" s="2"/>
      <c r="B48" s="2"/>
      <c r="C48" s="4"/>
      <c r="D48" s="4"/>
      <c r="E48" s="1"/>
      <c r="F48" s="55"/>
      <c r="G48" s="98"/>
      <c r="H48" s="96"/>
      <c r="I48" s="96"/>
      <c r="J48" s="97"/>
      <c r="K48" s="97"/>
      <c r="L48" s="96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x14ac:dyDescent="0.25">
      <c r="A49" s="2"/>
      <c r="B49" s="2"/>
      <c r="C49" s="4"/>
      <c r="D49" s="4"/>
      <c r="E49" s="1"/>
      <c r="F49" s="55"/>
      <c r="G49" s="98"/>
      <c r="H49" s="96"/>
      <c r="I49" s="96"/>
      <c r="J49" s="97"/>
      <c r="K49" s="97"/>
      <c r="L49" s="96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x14ac:dyDescent="0.25">
      <c r="A50" s="2"/>
      <c r="B50" s="2"/>
      <c r="C50" s="4"/>
      <c r="D50" s="4"/>
      <c r="E50" s="1"/>
      <c r="F50" s="55"/>
      <c r="G50" s="98"/>
      <c r="H50" s="96"/>
      <c r="I50" s="96"/>
      <c r="J50" s="97"/>
      <c r="K50" s="97"/>
      <c r="L50" s="96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x14ac:dyDescent="0.25">
      <c r="A51" s="2"/>
      <c r="B51" s="2"/>
      <c r="C51" s="4"/>
      <c r="D51" s="4"/>
      <c r="E51" s="1"/>
      <c r="F51" s="55"/>
      <c r="G51" s="98"/>
      <c r="H51" s="96"/>
      <c r="I51" s="96"/>
      <c r="J51" s="97"/>
      <c r="K51" s="97"/>
      <c r="L51" s="96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x14ac:dyDescent="0.25">
      <c r="A52" s="2"/>
      <c r="B52" s="2"/>
      <c r="C52" s="4"/>
      <c r="D52" s="4"/>
      <c r="E52" s="1"/>
      <c r="F52" s="55"/>
      <c r="G52" s="98"/>
      <c r="H52" s="96"/>
      <c r="I52" s="96"/>
      <c r="J52" s="97"/>
      <c r="K52" s="97"/>
      <c r="L52" s="96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x14ac:dyDescent="0.25">
      <c r="A53" s="2"/>
      <c r="B53" s="2"/>
      <c r="C53" s="4"/>
      <c r="D53" s="4"/>
      <c r="E53" s="1"/>
      <c r="F53" s="55"/>
      <c r="G53" s="98"/>
      <c r="H53" s="96"/>
      <c r="I53" s="96"/>
      <c r="J53" s="97"/>
      <c r="K53" s="97"/>
      <c r="L53" s="96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</sheetData>
  <mergeCells count="53">
    <mergeCell ref="J52:K52"/>
    <mergeCell ref="J53:K53"/>
    <mergeCell ref="J47:K47"/>
    <mergeCell ref="J48:K48"/>
    <mergeCell ref="J49:K49"/>
    <mergeCell ref="J50:K50"/>
    <mergeCell ref="J51:K51"/>
    <mergeCell ref="J42:K42"/>
    <mergeCell ref="J43:K43"/>
    <mergeCell ref="J44:K44"/>
    <mergeCell ref="J45:K45"/>
    <mergeCell ref="J46:K46"/>
    <mergeCell ref="J37:K37"/>
    <mergeCell ref="J38:K38"/>
    <mergeCell ref="J39:K39"/>
    <mergeCell ref="J40:K40"/>
    <mergeCell ref="J41:K41"/>
    <mergeCell ref="J32:K32"/>
    <mergeCell ref="J33:K33"/>
    <mergeCell ref="J34:K34"/>
    <mergeCell ref="J35:K35"/>
    <mergeCell ref="J36:K36"/>
    <mergeCell ref="J27:K27"/>
    <mergeCell ref="J28:K28"/>
    <mergeCell ref="J29:K29"/>
    <mergeCell ref="J30:K30"/>
    <mergeCell ref="J31:K31"/>
    <mergeCell ref="J22:K22"/>
    <mergeCell ref="J23:K23"/>
    <mergeCell ref="J24:K24"/>
    <mergeCell ref="J25:K25"/>
    <mergeCell ref="J26:K26"/>
    <mergeCell ref="J21:K21"/>
    <mergeCell ref="J20:K20"/>
    <mergeCell ref="J19:K19"/>
    <mergeCell ref="J18:K18"/>
    <mergeCell ref="J17:K17"/>
    <mergeCell ref="R17:S17"/>
    <mergeCell ref="R18:S18"/>
    <mergeCell ref="U12:V12"/>
    <mergeCell ref="U13:V13"/>
    <mergeCell ref="U14:V14"/>
    <mergeCell ref="U16:V16"/>
    <mergeCell ref="J16:K16"/>
    <mergeCell ref="S9:W9"/>
    <mergeCell ref="S5:T5"/>
    <mergeCell ref="R12:S12"/>
    <mergeCell ref="R13:S13"/>
    <mergeCell ref="R14:S14"/>
    <mergeCell ref="R15:S15"/>
    <mergeCell ref="R16:S16"/>
    <mergeCell ref="C3:D3"/>
    <mergeCell ref="H15:L15"/>
  </mergeCells>
  <conditionalFormatting sqref="F4:F53">
    <cfRule type="expression" dxfId="8" priority="12">
      <formula>$B$7=ROW()</formula>
    </cfRule>
  </conditionalFormatting>
  <conditionalFormatting sqref="I5 I7 I9 I11 L5 L7 L11 L9">
    <cfRule type="containsBlanks" dxfId="7" priority="10">
      <formula>LEN(TRIM(I5))=0</formula>
    </cfRule>
  </conditionalFormatting>
  <conditionalFormatting sqref="C3:D6">
    <cfRule type="expression" dxfId="6" priority="9">
      <formula>$B$2=ROW()</formula>
    </cfRule>
  </conditionalFormatting>
  <conditionalFormatting sqref="D3:D6">
    <cfRule type="expression" dxfId="5" priority="11">
      <formula>$B$2=ROW()</formula>
    </cfRule>
  </conditionalFormatting>
  <conditionalFormatting sqref="R12:W15 R16:U16 W16">
    <cfRule type="expression" dxfId="4" priority="7">
      <formula>MOD(ROW(),2)=0</formula>
    </cfRule>
  </conditionalFormatting>
  <conditionalFormatting sqref="N5:P11">
    <cfRule type="expression" dxfId="3" priority="6">
      <formula>MOD(ROW(),2)=0</formula>
    </cfRule>
  </conditionalFormatting>
  <conditionalFormatting sqref="Z6:AF8 Z10:AF12 Z14:AF16 Z18:AF20 Z22:AF24 Z26:AF28">
    <cfRule type="expression" dxfId="2" priority="3">
      <formula>Z6&lt;&gt;""</formula>
    </cfRule>
  </conditionalFormatting>
  <conditionalFormatting sqref="H17:L53">
    <cfRule type="expression" dxfId="1" priority="1">
      <formula>AND($H17&lt;&gt;"",MOD(ROW(),2)=1)</formula>
    </cfRule>
    <cfRule type="expression" dxfId="0" priority="2">
      <formula>AND($H17&lt;&gt;"",MOD(ROW(),2)=0)</formula>
    </cfRule>
  </conditionalFormatting>
  <dataValidations count="6">
    <dataValidation type="list" allowBlank="1" showInputMessage="1" showErrorMessage="1" sqref="AA3">
      <formula1>Weekdays</formula1>
    </dataValidation>
    <dataValidation type="list" allowBlank="1" showInputMessage="1" showErrorMessage="1" sqref="AC3">
      <formula1>Months</formula1>
    </dataValidation>
    <dataValidation type="list" allowBlank="1" showInputMessage="1" showErrorMessage="1" sqref="AE3">
      <formula1>Years</formula1>
    </dataValidation>
    <dataValidation type="list" allowBlank="1" showInputMessage="1" showErrorMessage="1" sqref="I11">
      <formula1>Frequency</formula1>
    </dataValidation>
    <dataValidation type="list" allowBlank="1" showInputMessage="1" showErrorMessage="1" sqref="I7">
      <formula1>"Loan Taken,Loaned Out"</formula1>
    </dataValidation>
    <dataValidation type="list" allowBlank="1" showInputMessage="1" showErrorMessage="1" sqref="S5:T5">
      <formula1>Loan_Name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1"/>
  <sheetViews>
    <sheetView workbookViewId="0">
      <selection activeCell="B9" sqref="B9"/>
    </sheetView>
  </sheetViews>
  <sheetFormatPr defaultRowHeight="15" x14ac:dyDescent="0.25"/>
  <cols>
    <col min="1" max="1" width="7.42578125" bestFit="1" customWidth="1"/>
    <col min="2" max="2" width="13.5703125" bestFit="1" customWidth="1"/>
    <col min="3" max="3" width="9.7109375" bestFit="1" customWidth="1"/>
    <col min="4" max="4" width="10.85546875" bestFit="1" customWidth="1"/>
    <col min="5" max="5" width="11.85546875" bestFit="1" customWidth="1"/>
    <col min="6" max="6" width="11.7109375" bestFit="1" customWidth="1"/>
    <col min="7" max="7" width="11.5703125" bestFit="1" customWidth="1"/>
    <col min="8" max="8" width="11.28515625" bestFit="1" customWidth="1"/>
    <col min="9" max="9" width="11.28515625" style="36" customWidth="1"/>
    <col min="10" max="10" width="15.7109375" bestFit="1" customWidth="1"/>
    <col min="11" max="11" width="13.7109375" bestFit="1" customWidth="1"/>
    <col min="12" max="12" width="13.5703125" bestFit="1" customWidth="1"/>
  </cols>
  <sheetData>
    <row r="1" spans="1:13" x14ac:dyDescent="0.25">
      <c r="A1" s="15" t="s">
        <v>27</v>
      </c>
      <c r="B1" s="15" t="s">
        <v>28</v>
      </c>
      <c r="C1" s="15" t="s">
        <v>29</v>
      </c>
      <c r="D1" s="15" t="s">
        <v>30</v>
      </c>
      <c r="E1" s="15" t="s">
        <v>32</v>
      </c>
      <c r="F1" s="15" t="s">
        <v>34</v>
      </c>
      <c r="G1" s="15" t="s">
        <v>35</v>
      </c>
      <c r="H1" s="15" t="s">
        <v>37</v>
      </c>
      <c r="I1" s="15" t="s">
        <v>39</v>
      </c>
      <c r="J1" s="15" t="s">
        <v>127</v>
      </c>
      <c r="K1" s="15" t="s">
        <v>124</v>
      </c>
      <c r="L1" s="15" t="s">
        <v>95</v>
      </c>
      <c r="M1" s="15" t="s">
        <v>130</v>
      </c>
    </row>
    <row r="2" spans="1:13" ht="15.75" x14ac:dyDescent="0.25">
      <c r="A2" s="31" t="s">
        <v>40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</row>
    <row r="3" spans="1:13" x14ac:dyDescent="0.25">
      <c r="A3" s="16" t="s">
        <v>5</v>
      </c>
      <c r="B3" s="16" t="s">
        <v>19</v>
      </c>
      <c r="C3" s="16" t="s">
        <v>6</v>
      </c>
      <c r="D3" s="16" t="s">
        <v>148</v>
      </c>
      <c r="E3" s="16" t="s">
        <v>31</v>
      </c>
      <c r="F3" s="16" t="s">
        <v>33</v>
      </c>
      <c r="G3" s="16" t="s">
        <v>38</v>
      </c>
      <c r="H3" s="16" t="s">
        <v>36</v>
      </c>
      <c r="I3" s="16" t="s">
        <v>22</v>
      </c>
      <c r="J3" s="16" t="s">
        <v>141</v>
      </c>
      <c r="K3" s="16" t="s">
        <v>52</v>
      </c>
      <c r="L3" s="16" t="s">
        <v>15</v>
      </c>
      <c r="M3" s="16" t="s">
        <v>129</v>
      </c>
    </row>
    <row r="4" spans="1:13" x14ac:dyDescent="0.25">
      <c r="A4" s="37">
        <v>1</v>
      </c>
      <c r="B4" s="104" t="s">
        <v>23</v>
      </c>
      <c r="C4" s="67">
        <v>43831</v>
      </c>
      <c r="D4" s="37" t="s">
        <v>90</v>
      </c>
      <c r="E4" s="68">
        <v>250000</v>
      </c>
      <c r="F4" s="37">
        <v>0.05</v>
      </c>
      <c r="G4" s="37">
        <v>30</v>
      </c>
      <c r="H4" s="37" t="s">
        <v>85</v>
      </c>
      <c r="I4" s="67">
        <v>43832</v>
      </c>
      <c r="J4" s="125">
        <v>1342.05</v>
      </c>
      <c r="K4" s="116">
        <v>43891</v>
      </c>
      <c r="L4" s="37">
        <v>360</v>
      </c>
      <c r="M4" s="37">
        <v>30</v>
      </c>
    </row>
    <row r="5" spans="1:13" x14ac:dyDescent="0.25">
      <c r="A5" s="8">
        <v>2</v>
      </c>
      <c r="B5" s="104" t="s">
        <v>21</v>
      </c>
      <c r="C5" s="38">
        <v>43845</v>
      </c>
      <c r="D5" s="8" t="s">
        <v>143</v>
      </c>
      <c r="E5" s="68">
        <v>5000</v>
      </c>
      <c r="F5" s="8">
        <v>4.4999999999999998E-2</v>
      </c>
      <c r="G5" s="8">
        <v>6</v>
      </c>
      <c r="H5" s="8" t="s">
        <v>85</v>
      </c>
      <c r="I5" s="67">
        <v>43840</v>
      </c>
      <c r="J5" s="125">
        <v>79.37</v>
      </c>
      <c r="K5" s="116">
        <v>43900</v>
      </c>
      <c r="L5" s="37">
        <v>72</v>
      </c>
      <c r="M5" s="37">
        <v>30</v>
      </c>
    </row>
    <row r="6" spans="1:13" x14ac:dyDescent="0.25">
      <c r="A6" s="8">
        <v>3</v>
      </c>
      <c r="B6" s="104" t="s">
        <v>24</v>
      </c>
      <c r="C6" s="114">
        <v>43876</v>
      </c>
      <c r="D6" t="s">
        <v>90</v>
      </c>
      <c r="E6" s="115">
        <v>15000</v>
      </c>
      <c r="F6">
        <v>4.4999999999999998E-2</v>
      </c>
      <c r="G6">
        <v>3</v>
      </c>
      <c r="H6" t="s">
        <v>85</v>
      </c>
      <c r="I6" s="114">
        <v>43876</v>
      </c>
      <c r="J6" s="126">
        <v>446.2</v>
      </c>
      <c r="K6" s="116">
        <v>43905</v>
      </c>
      <c r="L6" s="37">
        <v>36</v>
      </c>
      <c r="M6" s="37">
        <v>30</v>
      </c>
    </row>
    <row r="7" spans="1:13" x14ac:dyDescent="0.25">
      <c r="A7" s="113">
        <v>4</v>
      </c>
      <c r="B7" s="123" t="s">
        <v>153</v>
      </c>
      <c r="C7" s="114">
        <v>43905</v>
      </c>
      <c r="D7" s="113" t="s">
        <v>143</v>
      </c>
      <c r="E7" s="117">
        <v>25000</v>
      </c>
      <c r="F7" s="113">
        <v>4.4999999999999998E-2</v>
      </c>
      <c r="G7" s="113">
        <v>0</v>
      </c>
      <c r="H7" s="113" t="s">
        <v>85</v>
      </c>
      <c r="I7" s="116">
        <v>43912</v>
      </c>
      <c r="J7" s="125">
        <v>813.03</v>
      </c>
      <c r="K7" s="116">
        <v>43910</v>
      </c>
      <c r="L7" s="113">
        <v>0</v>
      </c>
      <c r="M7" s="113">
        <v>30</v>
      </c>
    </row>
    <row r="8" spans="1:13" x14ac:dyDescent="0.25">
      <c r="A8" s="113">
        <v>5</v>
      </c>
      <c r="B8" s="123" t="s">
        <v>154</v>
      </c>
      <c r="C8" s="114">
        <v>43936</v>
      </c>
      <c r="D8" s="112" t="s">
        <v>90</v>
      </c>
      <c r="E8" s="115">
        <v>35000</v>
      </c>
      <c r="F8" s="112">
        <v>4.4999999999999998E-2</v>
      </c>
      <c r="G8" s="112">
        <v>-3</v>
      </c>
      <c r="H8" s="112" t="s">
        <v>85</v>
      </c>
      <c r="I8" s="114">
        <v>43948</v>
      </c>
      <c r="J8" s="126">
        <v>1179.8599999999999</v>
      </c>
      <c r="K8" s="116">
        <v>43915</v>
      </c>
      <c r="L8" s="113">
        <v>-36</v>
      </c>
      <c r="M8" s="113">
        <v>30</v>
      </c>
    </row>
    <row r="9" spans="1:13" x14ac:dyDescent="0.25">
      <c r="A9" s="8">
        <v>6</v>
      </c>
      <c r="B9" s="104" t="s">
        <v>155</v>
      </c>
      <c r="C9" s="114">
        <v>43845</v>
      </c>
      <c r="D9" t="s">
        <v>143</v>
      </c>
      <c r="E9" s="115">
        <v>5000</v>
      </c>
      <c r="F9">
        <v>0.05</v>
      </c>
      <c r="G9">
        <v>1</v>
      </c>
      <c r="H9" t="s">
        <v>85</v>
      </c>
      <c r="I9" s="114">
        <v>43845</v>
      </c>
      <c r="J9" s="125">
        <v>428.04</v>
      </c>
      <c r="K9" s="116">
        <v>43875</v>
      </c>
      <c r="L9" s="37">
        <v>12</v>
      </c>
      <c r="M9" s="37">
        <v>30</v>
      </c>
    </row>
    <row r="10" spans="1:13" x14ac:dyDescent="0.25">
      <c r="A10" s="8"/>
      <c r="B10" s="104"/>
      <c r="J10" s="127"/>
      <c r="K10" s="113"/>
      <c r="L10" s="37"/>
      <c r="M10" s="37"/>
    </row>
    <row r="11" spans="1:13" x14ac:dyDescent="0.25">
      <c r="A11" s="8"/>
      <c r="B11" s="104"/>
      <c r="J11" s="127"/>
      <c r="K11" s="113"/>
      <c r="L11" s="37"/>
      <c r="M11" s="37"/>
    </row>
    <row r="12" spans="1:13" x14ac:dyDescent="0.25">
      <c r="A12" s="8"/>
      <c r="B12" s="104"/>
      <c r="J12" s="127"/>
      <c r="K12" s="113"/>
      <c r="L12" s="37"/>
      <c r="M12" s="37"/>
    </row>
    <row r="13" spans="1:13" x14ac:dyDescent="0.25">
      <c r="A13" s="8"/>
      <c r="B13" s="104"/>
      <c r="J13" s="127"/>
      <c r="K13" s="113"/>
      <c r="L13" s="37"/>
      <c r="M13" s="37"/>
    </row>
    <row r="14" spans="1:13" x14ac:dyDescent="0.25">
      <c r="A14" s="8"/>
      <c r="B14" s="104"/>
      <c r="J14" s="127"/>
      <c r="K14" s="113"/>
      <c r="L14" s="37"/>
      <c r="M14" s="37"/>
    </row>
    <row r="15" spans="1:13" x14ac:dyDescent="0.25">
      <c r="A15" s="8"/>
      <c r="B15" s="104"/>
      <c r="J15" s="127"/>
      <c r="L15" s="37"/>
      <c r="M15" s="37"/>
    </row>
    <row r="16" spans="1:13" x14ac:dyDescent="0.25">
      <c r="A16" s="8"/>
      <c r="B16" s="104"/>
      <c r="J16" s="127"/>
      <c r="L16" s="37"/>
      <c r="M16" s="37"/>
    </row>
    <row r="17" spans="1:13" x14ac:dyDescent="0.25">
      <c r="A17" s="8"/>
      <c r="B17" s="104"/>
      <c r="J17" s="127"/>
      <c r="L17" s="37"/>
      <c r="M17" s="37"/>
    </row>
    <row r="18" spans="1:13" x14ac:dyDescent="0.25">
      <c r="A18" s="8"/>
      <c r="B18" s="104"/>
      <c r="J18" s="127"/>
      <c r="L18" s="37"/>
      <c r="M18" s="37"/>
    </row>
    <row r="19" spans="1:13" x14ac:dyDescent="0.25">
      <c r="A19" s="8"/>
      <c r="B19" s="104"/>
      <c r="J19" s="127"/>
      <c r="L19" s="37"/>
      <c r="M19" s="37"/>
    </row>
    <row r="20" spans="1:13" x14ac:dyDescent="0.25">
      <c r="A20" s="8"/>
      <c r="B20" s="104"/>
      <c r="J20" s="127"/>
      <c r="L20" s="37"/>
      <c r="M20" s="37"/>
    </row>
    <row r="21" spans="1:13" x14ac:dyDescent="0.25">
      <c r="A21" s="8"/>
      <c r="B21" s="104"/>
      <c r="J21" s="127"/>
      <c r="L21" s="37"/>
      <c r="M21" s="37"/>
    </row>
    <row r="22" spans="1:13" x14ac:dyDescent="0.25">
      <c r="A22" s="8"/>
      <c r="B22" s="104"/>
      <c r="J22" s="127"/>
      <c r="L22" s="37"/>
      <c r="M22" s="37"/>
    </row>
    <row r="23" spans="1:13" x14ac:dyDescent="0.25">
      <c r="A23" s="8"/>
      <c r="B23" s="104"/>
      <c r="J23" s="127"/>
      <c r="L23" s="37"/>
      <c r="M23" s="37"/>
    </row>
    <row r="24" spans="1:13" x14ac:dyDescent="0.25">
      <c r="A24" s="8"/>
      <c r="B24" s="104"/>
      <c r="J24" s="127"/>
      <c r="L24" s="37"/>
      <c r="M24" s="37"/>
    </row>
    <row r="25" spans="1:13" x14ac:dyDescent="0.25">
      <c r="A25" s="8"/>
      <c r="B25" s="104"/>
      <c r="J25" s="127"/>
      <c r="L25" s="37"/>
      <c r="M25" s="37"/>
    </row>
    <row r="26" spans="1:13" x14ac:dyDescent="0.25">
      <c r="A26" s="8"/>
      <c r="B26" s="104"/>
      <c r="L26" s="37"/>
      <c r="M26" s="37"/>
    </row>
    <row r="27" spans="1:13" x14ac:dyDescent="0.25">
      <c r="A27" s="8"/>
      <c r="B27" s="104"/>
      <c r="L27" s="37"/>
      <c r="M27" s="37"/>
    </row>
    <row r="28" spans="1:13" x14ac:dyDescent="0.25">
      <c r="A28" s="8"/>
      <c r="B28" s="104"/>
      <c r="L28" s="37"/>
      <c r="M28" s="37"/>
    </row>
    <row r="29" spans="1:13" x14ac:dyDescent="0.25">
      <c r="A29" s="8"/>
      <c r="B29" s="104"/>
      <c r="L29" s="37"/>
      <c r="M29" s="37"/>
    </row>
    <row r="30" spans="1:13" x14ac:dyDescent="0.25">
      <c r="A30" s="8"/>
      <c r="B30" s="104"/>
      <c r="L30" s="37"/>
      <c r="M30" s="37"/>
    </row>
    <row r="31" spans="1:13" x14ac:dyDescent="0.25">
      <c r="A31" s="8"/>
      <c r="B31" s="104"/>
    </row>
    <row r="32" spans="1:13" x14ac:dyDescent="0.25">
      <c r="A32" s="8"/>
      <c r="B32" s="104"/>
    </row>
    <row r="33" spans="1:2" x14ac:dyDescent="0.25">
      <c r="A33" s="8"/>
      <c r="B33" s="104"/>
    </row>
    <row r="34" spans="1:2" x14ac:dyDescent="0.25">
      <c r="A34" s="8"/>
      <c r="B34" s="104"/>
    </row>
    <row r="35" spans="1:2" x14ac:dyDescent="0.25">
      <c r="A35" s="8"/>
      <c r="B35" s="104"/>
    </row>
    <row r="36" spans="1:2" x14ac:dyDescent="0.25">
      <c r="A36" s="8"/>
      <c r="B36" s="104"/>
    </row>
    <row r="37" spans="1:2" x14ac:dyDescent="0.25">
      <c r="A37" s="8"/>
      <c r="B37" s="104"/>
    </row>
    <row r="38" spans="1:2" x14ac:dyDescent="0.25">
      <c r="A38" s="8"/>
      <c r="B38" s="104"/>
    </row>
    <row r="39" spans="1:2" x14ac:dyDescent="0.25">
      <c r="A39" s="8"/>
      <c r="B39" s="104"/>
    </row>
    <row r="40" spans="1:2" x14ac:dyDescent="0.25">
      <c r="A40" s="8"/>
      <c r="B40" s="104"/>
    </row>
    <row r="41" spans="1:2" x14ac:dyDescent="0.25">
      <c r="A41" s="8"/>
    </row>
  </sheetData>
  <mergeCells count="1">
    <mergeCell ref="A2:M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8"/>
  <sheetViews>
    <sheetView workbookViewId="0">
      <selection activeCell="M3" sqref="M3:R7"/>
    </sheetView>
  </sheetViews>
  <sheetFormatPr defaultRowHeight="15" x14ac:dyDescent="0.25"/>
  <cols>
    <col min="3" max="3" width="10.7109375" bestFit="1" customWidth="1"/>
    <col min="4" max="4" width="11.85546875" bestFit="1" customWidth="1"/>
    <col min="5" max="5" width="13.5703125" bestFit="1" customWidth="1"/>
    <col min="6" max="6" width="13.140625" customWidth="1"/>
    <col min="7" max="7" width="12" customWidth="1"/>
    <col min="8" max="8" width="6.7109375" customWidth="1"/>
    <col min="9" max="9" width="10.85546875" bestFit="1" customWidth="1"/>
    <col min="13" max="13" width="8" style="112" bestFit="1" customWidth="1"/>
    <col min="14" max="14" width="10.85546875" style="112" customWidth="1"/>
    <col min="15" max="15" width="11.85546875" style="112" bestFit="1" customWidth="1"/>
    <col min="16" max="16" width="13.5703125" style="112" bestFit="1" customWidth="1"/>
    <col min="17" max="17" width="6.140625" style="112" customWidth="1"/>
    <col min="18" max="18" width="12.7109375" style="112" bestFit="1" customWidth="1"/>
  </cols>
  <sheetData>
    <row r="1" spans="1:18" x14ac:dyDescent="0.25">
      <c r="A1" s="15" t="s">
        <v>106</v>
      </c>
      <c r="B1" s="15" t="s">
        <v>106</v>
      </c>
      <c r="C1" s="15" t="s">
        <v>107</v>
      </c>
      <c r="D1" s="15" t="s">
        <v>108</v>
      </c>
      <c r="E1" s="15" t="s">
        <v>109</v>
      </c>
      <c r="F1" s="15" t="s">
        <v>110</v>
      </c>
      <c r="G1" s="15" t="s">
        <v>138</v>
      </c>
      <c r="H1" s="71"/>
      <c r="I1" s="71"/>
      <c r="K1" s="120" t="s">
        <v>135</v>
      </c>
      <c r="M1" s="91" t="s">
        <v>137</v>
      </c>
      <c r="N1" s="91"/>
      <c r="O1" s="91"/>
      <c r="P1" s="91"/>
      <c r="Q1" s="91"/>
      <c r="R1" s="91"/>
    </row>
    <row r="2" spans="1:18" x14ac:dyDescent="0.25">
      <c r="A2" s="110" t="s">
        <v>136</v>
      </c>
      <c r="B2" s="111"/>
      <c r="C2" s="111"/>
      <c r="D2" s="111"/>
      <c r="E2" s="111"/>
      <c r="F2" s="111"/>
      <c r="G2" s="111"/>
      <c r="H2" s="111"/>
      <c r="I2" s="111"/>
      <c r="K2" s="118" t="s">
        <v>5</v>
      </c>
      <c r="M2" s="72" t="s">
        <v>41</v>
      </c>
      <c r="N2" s="72" t="s">
        <v>42</v>
      </c>
      <c r="O2" s="72" t="s">
        <v>102</v>
      </c>
      <c r="P2" s="72" t="s">
        <v>47</v>
      </c>
      <c r="Q2" s="72"/>
      <c r="R2" s="72" t="s">
        <v>103</v>
      </c>
    </row>
    <row r="3" spans="1:18" x14ac:dyDescent="0.25">
      <c r="A3" s="118" t="s">
        <v>41</v>
      </c>
      <c r="B3" s="118" t="s">
        <v>5</v>
      </c>
      <c r="C3" s="118" t="s">
        <v>42</v>
      </c>
      <c r="D3" s="118" t="s">
        <v>102</v>
      </c>
      <c r="E3" s="118" t="s">
        <v>47</v>
      </c>
      <c r="F3" s="118" t="s">
        <v>103</v>
      </c>
      <c r="G3" s="118" t="s">
        <v>51</v>
      </c>
      <c r="H3" s="118" t="s">
        <v>104</v>
      </c>
      <c r="I3" s="118" t="s">
        <v>148</v>
      </c>
      <c r="K3" s="119">
        <f>'Loan Manager'!B3</f>
        <v>1</v>
      </c>
      <c r="M3" s="113">
        <v>3</v>
      </c>
      <c r="N3" s="114">
        <v>44164</v>
      </c>
      <c r="O3" s="115">
        <v>1342.05</v>
      </c>
      <c r="P3" s="115">
        <v>309.05</v>
      </c>
      <c r="R3" s="115">
        <v>1033</v>
      </c>
    </row>
    <row r="4" spans="1:18" x14ac:dyDescent="0.25">
      <c r="A4" s="37">
        <v>1</v>
      </c>
      <c r="B4" s="37">
        <v>1</v>
      </c>
      <c r="C4" s="38">
        <v>44134</v>
      </c>
      <c r="D4" s="66">
        <v>1342.05</v>
      </c>
      <c r="E4" s="66">
        <v>309.05</v>
      </c>
      <c r="F4" s="66">
        <v>1033</v>
      </c>
      <c r="G4" t="s">
        <v>140</v>
      </c>
      <c r="H4" s="37">
        <f>ROW()</f>
        <v>4</v>
      </c>
      <c r="I4" t="s">
        <v>90</v>
      </c>
      <c r="M4" s="113">
        <v>6</v>
      </c>
      <c r="N4" s="114">
        <v>44164</v>
      </c>
      <c r="O4" s="115">
        <v>1342.05</v>
      </c>
      <c r="P4" s="115">
        <v>554.67999999999995</v>
      </c>
      <c r="R4" s="115">
        <v>787.37</v>
      </c>
    </row>
    <row r="5" spans="1:18" x14ac:dyDescent="0.25">
      <c r="A5" s="37">
        <v>2</v>
      </c>
      <c r="B5" s="37">
        <v>1</v>
      </c>
      <c r="C5" s="38">
        <v>44163</v>
      </c>
      <c r="D5" s="66">
        <v>1342.05</v>
      </c>
      <c r="E5" s="66">
        <v>309.05</v>
      </c>
      <c r="F5" s="66">
        <v>1033</v>
      </c>
      <c r="G5" t="s">
        <v>139</v>
      </c>
      <c r="H5" s="37">
        <f>ROW()</f>
        <v>5</v>
      </c>
      <c r="I5" t="s">
        <v>90</v>
      </c>
      <c r="M5" s="113">
        <v>8</v>
      </c>
      <c r="N5" s="114">
        <v>44164</v>
      </c>
      <c r="O5" s="115">
        <v>1481.83</v>
      </c>
      <c r="P5" s="115">
        <v>451.76</v>
      </c>
      <c r="R5" s="115">
        <v>1030.07</v>
      </c>
    </row>
    <row r="6" spans="1:18" x14ac:dyDescent="0.25">
      <c r="A6" s="37">
        <v>3</v>
      </c>
      <c r="B6" s="37">
        <v>1</v>
      </c>
      <c r="C6" s="38">
        <v>44164</v>
      </c>
      <c r="D6" s="66">
        <v>1342.05</v>
      </c>
      <c r="E6" s="66">
        <v>309.05</v>
      </c>
      <c r="F6" s="66">
        <v>1033</v>
      </c>
      <c r="G6" t="s">
        <v>152</v>
      </c>
      <c r="H6" s="37">
        <f>ROW()</f>
        <v>6</v>
      </c>
      <c r="I6" t="s">
        <v>90</v>
      </c>
      <c r="M6" s="113">
        <v>2</v>
      </c>
      <c r="N6" s="114">
        <v>44163</v>
      </c>
      <c r="O6" s="115">
        <v>1342.05</v>
      </c>
      <c r="P6" s="115">
        <v>309.05</v>
      </c>
      <c r="R6" s="115">
        <v>1033</v>
      </c>
    </row>
    <row r="7" spans="1:18" x14ac:dyDescent="0.25">
      <c r="A7" s="37">
        <v>4</v>
      </c>
      <c r="B7" s="37">
        <v>2</v>
      </c>
      <c r="C7" s="38">
        <v>44164</v>
      </c>
      <c r="D7" s="66">
        <v>100</v>
      </c>
      <c r="E7" s="66">
        <v>81.25</v>
      </c>
      <c r="F7" s="66">
        <v>18.75</v>
      </c>
      <c r="G7" t="s">
        <v>149</v>
      </c>
      <c r="H7" s="37">
        <f>ROW()</f>
        <v>7</v>
      </c>
      <c r="I7" t="s">
        <v>143</v>
      </c>
      <c r="M7" s="113">
        <v>1</v>
      </c>
      <c r="N7" s="114">
        <v>44134</v>
      </c>
      <c r="O7" s="115">
        <v>1342.05</v>
      </c>
      <c r="P7" s="115">
        <v>309.05</v>
      </c>
      <c r="R7" s="115">
        <v>1033</v>
      </c>
    </row>
    <row r="8" spans="1:18" x14ac:dyDescent="0.25">
      <c r="A8" s="37">
        <v>6</v>
      </c>
      <c r="B8" s="37">
        <v>1</v>
      </c>
      <c r="C8" s="38">
        <v>44164</v>
      </c>
      <c r="D8" s="66">
        <v>1342.05</v>
      </c>
      <c r="E8" s="66">
        <v>554.67999999999995</v>
      </c>
      <c r="F8" s="66">
        <v>787.37</v>
      </c>
      <c r="H8" s="37">
        <f>ROW()</f>
        <v>8</v>
      </c>
      <c r="I8" t="s">
        <v>90</v>
      </c>
    </row>
    <row r="9" spans="1:18" x14ac:dyDescent="0.25">
      <c r="A9" s="37">
        <v>5</v>
      </c>
      <c r="B9" s="37">
        <v>2</v>
      </c>
      <c r="C9" s="114">
        <v>44164</v>
      </c>
      <c r="D9" s="115">
        <v>93.22</v>
      </c>
      <c r="E9" s="115">
        <v>76.239999999999995</v>
      </c>
      <c r="F9" s="115">
        <v>16.98</v>
      </c>
      <c r="G9" t="s">
        <v>150</v>
      </c>
      <c r="H9" s="37">
        <f>ROW()</f>
        <v>9</v>
      </c>
      <c r="I9" t="s">
        <v>143</v>
      </c>
    </row>
    <row r="10" spans="1:18" x14ac:dyDescent="0.25">
      <c r="A10" s="37">
        <v>7</v>
      </c>
      <c r="B10" s="37">
        <v>3</v>
      </c>
      <c r="C10" s="114">
        <v>44164</v>
      </c>
      <c r="D10" s="115">
        <v>446.2</v>
      </c>
      <c r="E10" s="115">
        <v>389.95</v>
      </c>
      <c r="F10" s="115">
        <v>56.25</v>
      </c>
      <c r="G10" t="s">
        <v>151</v>
      </c>
      <c r="H10" s="37">
        <f>ROW()</f>
        <v>10</v>
      </c>
      <c r="I10" t="s">
        <v>90</v>
      </c>
    </row>
    <row r="11" spans="1:18" x14ac:dyDescent="0.25">
      <c r="A11" s="37">
        <v>8</v>
      </c>
      <c r="B11" s="37">
        <v>1</v>
      </c>
      <c r="C11" s="114">
        <v>44164</v>
      </c>
      <c r="D11" s="115">
        <v>1481.83</v>
      </c>
      <c r="E11" s="115">
        <v>451.76</v>
      </c>
      <c r="F11" s="115">
        <v>1030.07</v>
      </c>
      <c r="H11" s="37">
        <f>ROW()</f>
        <v>11</v>
      </c>
      <c r="I11" t="s">
        <v>90</v>
      </c>
    </row>
    <row r="12" spans="1:18" x14ac:dyDescent="0.25">
      <c r="A12" s="37">
        <v>9</v>
      </c>
      <c r="B12" s="37">
        <v>3</v>
      </c>
      <c r="C12" s="114">
        <v>44164</v>
      </c>
      <c r="D12" s="115">
        <v>446.2</v>
      </c>
      <c r="E12" s="115">
        <v>403.06</v>
      </c>
      <c r="F12" s="115">
        <v>43.14</v>
      </c>
      <c r="G12" t="s">
        <v>133</v>
      </c>
      <c r="H12" s="37">
        <f>ROW()</f>
        <v>12</v>
      </c>
      <c r="I12" t="s">
        <v>90</v>
      </c>
    </row>
    <row r="13" spans="1:18" x14ac:dyDescent="0.25">
      <c r="A13" s="37"/>
      <c r="B13" s="37"/>
      <c r="H13" s="37"/>
    </row>
    <row r="14" spans="1:18" x14ac:dyDescent="0.25">
      <c r="A14" s="37"/>
      <c r="B14" s="37"/>
      <c r="H14" s="37"/>
    </row>
    <row r="15" spans="1:18" x14ac:dyDescent="0.25">
      <c r="A15" s="37"/>
      <c r="B15" s="37"/>
      <c r="H15" s="37"/>
    </row>
    <row r="16" spans="1:18" x14ac:dyDescent="0.25">
      <c r="A16" s="37"/>
      <c r="B16" s="37"/>
      <c r="H16" s="37"/>
    </row>
    <row r="18" spans="1:8" x14ac:dyDescent="0.25">
      <c r="A18" s="37"/>
      <c r="B18" s="37"/>
      <c r="H18" s="37"/>
    </row>
    <row r="19" spans="1:8" x14ac:dyDescent="0.25">
      <c r="A19" s="37"/>
      <c r="B19" s="37"/>
      <c r="H19" s="37"/>
    </row>
    <row r="20" spans="1:8" x14ac:dyDescent="0.25">
      <c r="A20" s="37"/>
      <c r="B20" s="37"/>
      <c r="H20" s="37"/>
    </row>
    <row r="21" spans="1:8" x14ac:dyDescent="0.25">
      <c r="A21" s="37"/>
      <c r="B21" s="37"/>
      <c r="H21" s="37"/>
    </row>
    <row r="22" spans="1:8" x14ac:dyDescent="0.25">
      <c r="A22" s="37"/>
      <c r="B22" s="37"/>
      <c r="H22" s="37"/>
    </row>
    <row r="23" spans="1:8" x14ac:dyDescent="0.25">
      <c r="A23" s="37"/>
      <c r="B23" s="37"/>
      <c r="H23" s="37"/>
    </row>
    <row r="24" spans="1:8" x14ac:dyDescent="0.25">
      <c r="A24" s="37"/>
      <c r="B24" s="37"/>
      <c r="H24" s="37"/>
    </row>
    <row r="25" spans="1:8" x14ac:dyDescent="0.25">
      <c r="A25" s="37"/>
      <c r="B25" s="37"/>
      <c r="H25" s="37"/>
    </row>
    <row r="26" spans="1:8" x14ac:dyDescent="0.25">
      <c r="A26" s="37"/>
      <c r="B26" s="37"/>
      <c r="H26" s="37"/>
    </row>
    <row r="27" spans="1:8" x14ac:dyDescent="0.25">
      <c r="A27" s="37"/>
      <c r="B27" s="37"/>
      <c r="H27" s="37"/>
    </row>
    <row r="28" spans="1:8" x14ac:dyDescent="0.25">
      <c r="A28" s="37"/>
      <c r="B28" s="37"/>
      <c r="H28" s="37"/>
    </row>
    <row r="29" spans="1:8" x14ac:dyDescent="0.25">
      <c r="A29" s="37"/>
      <c r="B29" s="37"/>
      <c r="H29" s="37"/>
    </row>
    <row r="30" spans="1:8" x14ac:dyDescent="0.25">
      <c r="A30" s="37"/>
      <c r="B30" s="37"/>
      <c r="H30" s="37"/>
    </row>
    <row r="31" spans="1:8" x14ac:dyDescent="0.25">
      <c r="A31" s="37"/>
      <c r="B31" s="37"/>
      <c r="H31" s="37"/>
    </row>
    <row r="32" spans="1:8" x14ac:dyDescent="0.25">
      <c r="A32" s="37"/>
      <c r="B32" s="37"/>
      <c r="H32" s="37"/>
    </row>
    <row r="33" spans="1:8" x14ac:dyDescent="0.25">
      <c r="A33" s="37"/>
      <c r="B33" s="37"/>
      <c r="H33" s="37"/>
    </row>
    <row r="34" spans="1:8" x14ac:dyDescent="0.25">
      <c r="A34" s="37"/>
      <c r="B34" s="37"/>
      <c r="H34" s="37"/>
    </row>
    <row r="35" spans="1:8" x14ac:dyDescent="0.25">
      <c r="A35" s="37"/>
      <c r="B35" s="37"/>
      <c r="H35" s="37"/>
    </row>
    <row r="36" spans="1:8" x14ac:dyDescent="0.25">
      <c r="A36" s="37"/>
      <c r="B36" s="37"/>
      <c r="H36" s="37"/>
    </row>
    <row r="37" spans="1:8" x14ac:dyDescent="0.25">
      <c r="A37" s="37"/>
      <c r="B37" s="37"/>
      <c r="H37" s="37"/>
    </row>
    <row r="38" spans="1:8" x14ac:dyDescent="0.25">
      <c r="A38" s="37"/>
      <c r="B38" s="37"/>
    </row>
  </sheetData>
  <sortState ref="M3:R7">
    <sortCondition descending="1" ref="N3"/>
  </sortState>
  <mergeCells count="2">
    <mergeCell ref="M1:R1"/>
    <mergeCell ref="A2: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D13"/>
  <sheetViews>
    <sheetView workbookViewId="0">
      <selection activeCell="B29" sqref="B29"/>
    </sheetView>
  </sheetViews>
  <sheetFormatPr defaultRowHeight="15" x14ac:dyDescent="0.25"/>
  <cols>
    <col min="2" max="2" width="12.42578125" bestFit="1" customWidth="1"/>
    <col min="3" max="3" width="14.85546875" customWidth="1"/>
    <col min="4" max="4" width="10.28515625" bestFit="1" customWidth="1"/>
  </cols>
  <sheetData>
    <row r="3" spans="2:4" x14ac:dyDescent="0.25">
      <c r="B3" s="105" t="s">
        <v>80</v>
      </c>
      <c r="C3" s="105"/>
      <c r="D3" s="105"/>
    </row>
    <row r="4" spans="2:4" x14ac:dyDescent="0.25">
      <c r="B4" s="106" t="s">
        <v>79</v>
      </c>
      <c r="C4" s="106" t="s">
        <v>89</v>
      </c>
      <c r="D4" s="107" t="s">
        <v>93</v>
      </c>
    </row>
    <row r="5" spans="2:4" x14ac:dyDescent="0.25">
      <c r="B5" s="59" t="s">
        <v>81</v>
      </c>
      <c r="C5" s="60">
        <v>1</v>
      </c>
      <c r="D5" s="61">
        <v>365</v>
      </c>
    </row>
    <row r="6" spans="2:4" x14ac:dyDescent="0.25">
      <c r="B6" s="59" t="s">
        <v>82</v>
      </c>
      <c r="C6" s="60">
        <v>2</v>
      </c>
      <c r="D6" s="61">
        <v>182</v>
      </c>
    </row>
    <row r="7" spans="2:4" x14ac:dyDescent="0.25">
      <c r="B7" s="62" t="s">
        <v>83</v>
      </c>
      <c r="C7" s="60">
        <v>4</v>
      </c>
      <c r="D7" s="61">
        <v>91</v>
      </c>
    </row>
    <row r="8" spans="2:4" x14ac:dyDescent="0.25">
      <c r="B8" s="62" t="s">
        <v>84</v>
      </c>
      <c r="C8" s="60">
        <v>6</v>
      </c>
      <c r="D8" s="61">
        <v>61</v>
      </c>
    </row>
    <row r="9" spans="2:4" x14ac:dyDescent="0.25">
      <c r="B9" s="62" t="s">
        <v>85</v>
      </c>
      <c r="C9" s="60">
        <v>12</v>
      </c>
      <c r="D9" s="61">
        <v>30</v>
      </c>
    </row>
    <row r="10" spans="2:4" x14ac:dyDescent="0.25">
      <c r="B10" s="62" t="s">
        <v>86</v>
      </c>
      <c r="C10" s="60">
        <v>24</v>
      </c>
      <c r="D10" s="61">
        <v>15</v>
      </c>
    </row>
    <row r="11" spans="2:4" x14ac:dyDescent="0.25">
      <c r="B11" s="59" t="s">
        <v>87</v>
      </c>
      <c r="C11" s="60">
        <v>26</v>
      </c>
      <c r="D11" s="61">
        <v>14</v>
      </c>
    </row>
    <row r="12" spans="2:4" x14ac:dyDescent="0.25">
      <c r="B12" s="59" t="s">
        <v>88</v>
      </c>
      <c r="C12" s="60">
        <v>52</v>
      </c>
      <c r="D12" s="61">
        <v>7</v>
      </c>
    </row>
    <row r="13" spans="2:4" x14ac:dyDescent="0.25">
      <c r="B13" s="36"/>
      <c r="C13" s="36"/>
      <c r="D13" s="36"/>
    </row>
  </sheetData>
  <mergeCells count="1">
    <mergeCell ref="B3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Loan Manager</vt:lpstr>
      <vt:lpstr>Loans</vt:lpstr>
      <vt:lpstr>Payments</vt:lpstr>
      <vt:lpstr>Admin</vt:lpstr>
      <vt:lpstr>Payments!Criteria</vt:lpstr>
      <vt:lpstr>Payments!Extract</vt:lpstr>
      <vt:lpstr>Frequency</vt:lpstr>
      <vt:lpstr>Months</vt:lpstr>
      <vt:lpstr>StartDayNumb</vt:lpstr>
      <vt:lpstr>Weekdays</vt:lpstr>
      <vt:lpstr>Years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Randy Austin</cp:lastModifiedBy>
  <dcterms:created xsi:type="dcterms:W3CDTF">2020-11-26T07:54:41Z</dcterms:created>
  <dcterms:modified xsi:type="dcterms:W3CDTF">2020-11-29T12:02:09Z</dcterms:modified>
</cp:coreProperties>
</file>