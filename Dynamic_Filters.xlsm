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ropbox\Randy-Shared (1)\Updated Workbooks With Ads\"/>
    </mc:Choice>
  </mc:AlternateContent>
  <xr:revisionPtr revIDLastSave="0" documentId="13_ncr:1_{0639DA70-FD6C-41B6-B6EB-1BD23F7B8BA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ilters" sheetId="1" r:id="rId1"/>
    <sheet name="Data" sheetId="2" r:id="rId2"/>
    <sheet name="Sheet3" sheetId="3" r:id="rId3"/>
  </sheets>
  <definedNames>
    <definedName name="_xlnm._FilterDatabase" localSheetId="1" hidden="1">Data!$A$3:$H$103</definedName>
    <definedName name="_xlnm._FilterDatabase" localSheetId="0" hidden="1">Filters!$G$6:$N$27</definedName>
    <definedName name="_xlnm.Criteria" localSheetId="1">Data!$O$2:$T$3</definedName>
    <definedName name="CustHeader">Data!$A$3:$H$3</definedName>
    <definedName name="Date">Filters!$U$5:$U$10</definedName>
    <definedName name="_xlnm.Extract" localSheetId="1">Data!$AA$2:$AH$2</definedName>
    <definedName name="Number">Filters!$S$5:$S$10</definedName>
    <definedName name="Text">Filters!$Q$5:$Q$8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B2" i="1"/>
  <c r="P3" i="1" l="1"/>
  <c r="N1" i="2"/>
  <c r="D1" i="1"/>
  <c r="D2" i="1" l="1"/>
  <c r="D3" i="1"/>
</calcChain>
</file>

<file path=xl/sharedStrings.xml><?xml version="1.0" encoding="utf-8"?>
<sst xmlns="http://schemas.openxmlformats.org/spreadsheetml/2006/main" count="884" uniqueCount="548">
  <si>
    <t>Company Name</t>
  </si>
  <si>
    <t>First Name</t>
  </si>
  <si>
    <t>Last Name</t>
  </si>
  <si>
    <t>Email</t>
  </si>
  <si>
    <t>Felis Navidad</t>
  </si>
  <si>
    <t>Samsonite</t>
  </si>
  <si>
    <t>Dunlap Tire</t>
  </si>
  <si>
    <t>quis.diam.Pellentesque@habitantmorbi.com</t>
  </si>
  <si>
    <t>Az Arcu Nunc Consultings</t>
  </si>
  <si>
    <t>Hammett</t>
  </si>
  <si>
    <t>Key</t>
  </si>
  <si>
    <t>sem@loremeu.co.uk</t>
  </si>
  <si>
    <t>Asia Pacific Electric</t>
  </si>
  <si>
    <t>Zorita</t>
  </si>
  <si>
    <t>Harrisoning</t>
  </si>
  <si>
    <t>Praesent.luctus.Curabitur@variusorci.org</t>
  </si>
  <si>
    <t>Ac Libero LLP</t>
  </si>
  <si>
    <t>Mary</t>
  </si>
  <si>
    <t>Crosby</t>
  </si>
  <si>
    <t>dui.semper.et@Nullam.edu</t>
  </si>
  <si>
    <t>Auctor Associates</t>
  </si>
  <si>
    <t>Boris</t>
  </si>
  <si>
    <t>Velez</t>
  </si>
  <si>
    <t>dictum.placerat@id.com</t>
  </si>
  <si>
    <t>Caryn</t>
  </si>
  <si>
    <t>Tanner</t>
  </si>
  <si>
    <t>facilisi.Sed.neque@Donec.net</t>
  </si>
  <si>
    <t>Ante Ipsum Company</t>
  </si>
  <si>
    <t>Tamekah</t>
  </si>
  <si>
    <t>Holmes</t>
  </si>
  <si>
    <t>magna@necmalesuada.com</t>
  </si>
  <si>
    <t>Arcu Associates</t>
  </si>
  <si>
    <t>Justin</t>
  </si>
  <si>
    <t>Combs</t>
  </si>
  <si>
    <t>dictum.eu@maurissagittisplacerat.edu</t>
  </si>
  <si>
    <t>Aliquam Rutrum Foundation</t>
  </si>
  <si>
    <t>Russell</t>
  </si>
  <si>
    <t>Joseph</t>
  </si>
  <si>
    <t>Morbi.sit.amet@euerosNam.net</t>
  </si>
  <si>
    <t>Asia Electric</t>
  </si>
  <si>
    <t>Hunter</t>
  </si>
  <si>
    <t>Mullen</t>
  </si>
  <si>
    <t>mauris.rhoncus@leo.com</t>
  </si>
  <si>
    <t>Knox</t>
  </si>
  <si>
    <t>Sullivan</t>
  </si>
  <si>
    <t>quis.diam@nonduinec.org</t>
  </si>
  <si>
    <t>Consequat Purus Limited</t>
  </si>
  <si>
    <t>Madonna</t>
  </si>
  <si>
    <t>Rodriquez</t>
  </si>
  <si>
    <t>vehicula@felis.edu</t>
  </si>
  <si>
    <t>Diam Lorem Limited</t>
  </si>
  <si>
    <t>Adara</t>
  </si>
  <si>
    <t>Spencer</t>
  </si>
  <si>
    <t>vulputate.risus.a@perinceptos.com</t>
  </si>
  <si>
    <t>Dictum Eleifend Incorp</t>
  </si>
  <si>
    <t>Hedley</t>
  </si>
  <si>
    <t>Hooper</t>
  </si>
  <si>
    <t>nulla@sit.ca</t>
  </si>
  <si>
    <t>Quamar</t>
  </si>
  <si>
    <t>Trevino</t>
  </si>
  <si>
    <t>non.feugiat.nec@parturientmontes.com</t>
  </si>
  <si>
    <t>Jonah</t>
  </si>
  <si>
    <t>Pitts</t>
  </si>
  <si>
    <t>eu.dui.Cum@sedpedeCum.edu</t>
  </si>
  <si>
    <t>Montgomery</t>
  </si>
  <si>
    <t>Donec Non Incorporated</t>
  </si>
  <si>
    <t>Tanya</t>
  </si>
  <si>
    <t>Beach</t>
  </si>
  <si>
    <t>dolor@tincidunt.net</t>
  </si>
  <si>
    <t>Duis Mi Enim LLP</t>
  </si>
  <si>
    <t>Castor</t>
  </si>
  <si>
    <t>Petty</t>
  </si>
  <si>
    <t>Morbi@commodoatlibero.ca</t>
  </si>
  <si>
    <t>Egestas A Inc.</t>
  </si>
  <si>
    <t>Rhiannon</t>
  </si>
  <si>
    <t>Cooke</t>
  </si>
  <si>
    <t>vitae.aliquam@imperdietnec.net</t>
  </si>
  <si>
    <t>Egestas Incorporated</t>
  </si>
  <si>
    <t>Jamal</t>
  </si>
  <si>
    <t>Frye</t>
  </si>
  <si>
    <t>Aenean.eget@Quisqueporttitor.edu</t>
  </si>
  <si>
    <t>Elit A Feugiat LLC</t>
  </si>
  <si>
    <t>Liberty</t>
  </si>
  <si>
    <t>Moran</t>
  </si>
  <si>
    <t>vitae@viverraDonectempus.ca</t>
  </si>
  <si>
    <t>Elit Pretium Institute</t>
  </si>
  <si>
    <t>Stephen</t>
  </si>
  <si>
    <t>Sheppard</t>
  </si>
  <si>
    <t>gravida.sit.amet@Phasellusornare.edu</t>
  </si>
  <si>
    <t>Erat Eget Limited</t>
  </si>
  <si>
    <t>Arsenio</t>
  </si>
  <si>
    <t>Castillo</t>
  </si>
  <si>
    <t>Maecenas.libero.est@senectuset.com</t>
  </si>
  <si>
    <t>Erat Inc.</t>
  </si>
  <si>
    <t>Benedict</t>
  </si>
  <si>
    <t>Ross</t>
  </si>
  <si>
    <t>leo.Vivamus.nibh@sitamet.org</t>
  </si>
  <si>
    <t>Eros Corp.</t>
  </si>
  <si>
    <t>Gwendolyn</t>
  </si>
  <si>
    <t>Hood</t>
  </si>
  <si>
    <t>velit.Sed@est.edu</t>
  </si>
  <si>
    <t>Est Consulting</t>
  </si>
  <si>
    <t>Zena</t>
  </si>
  <si>
    <t>Ayala</t>
  </si>
  <si>
    <t>ipsum.cursus.vestibulum@Proin.edu</t>
  </si>
  <si>
    <t>Faucibus Inc.</t>
  </si>
  <si>
    <t>Amal</t>
  </si>
  <si>
    <t>Haynes</t>
  </si>
  <si>
    <t>aliquam.arcu@eteuismodet.org</t>
  </si>
  <si>
    <t>Fermentum Institute</t>
  </si>
  <si>
    <t>Carla</t>
  </si>
  <si>
    <t>Gamble</t>
  </si>
  <si>
    <t>ut.lacus.Nulla@odio.org</t>
  </si>
  <si>
    <t>Feugiat Nec PC</t>
  </si>
  <si>
    <t>Alea</t>
  </si>
  <si>
    <t>Hickman</t>
  </si>
  <si>
    <t>eu.elit@imperdiet.org</t>
  </si>
  <si>
    <t>Fringilla Est Incorporated</t>
  </si>
  <si>
    <t>Karen</t>
  </si>
  <si>
    <t>Landry</t>
  </si>
  <si>
    <t>amet.ornare@dignissim.org</t>
  </si>
  <si>
    <t>Fringilla PC</t>
  </si>
  <si>
    <t>Lillian</t>
  </si>
  <si>
    <t>Joyce</t>
  </si>
  <si>
    <t>quis@consectetuer.org</t>
  </si>
  <si>
    <t>Hendrerit Neque In Foundation</t>
  </si>
  <si>
    <t>Jaden</t>
  </si>
  <si>
    <t>Levine</t>
  </si>
  <si>
    <t>blandit.Nam@adipiscinglacus.net</t>
  </si>
  <si>
    <t>Id Risus Company</t>
  </si>
  <si>
    <t>Imogene</t>
  </si>
  <si>
    <t>leo.elementum@metus.co.uk</t>
  </si>
  <si>
    <t>Lacus Industries</t>
  </si>
  <si>
    <t>Jenna</t>
  </si>
  <si>
    <t>Monroe</t>
  </si>
  <si>
    <t>Integer.id.magna@nibhPhasellus.org</t>
  </si>
  <si>
    <t>Lacus LLP</t>
  </si>
  <si>
    <t>Yoshi</t>
  </si>
  <si>
    <t>Bush</t>
  </si>
  <si>
    <t>ac.ipsum.Phasellus@sed.net</t>
  </si>
  <si>
    <t>Lacus Quisque Consulting</t>
  </si>
  <si>
    <t>Chandler</t>
  </si>
  <si>
    <t>Osborne</t>
  </si>
  <si>
    <t>a@ametmetus.org</t>
  </si>
  <si>
    <t>Laoreet Posuere Corporation</t>
  </si>
  <si>
    <t>Cassidy</t>
  </si>
  <si>
    <t>Estes</t>
  </si>
  <si>
    <t>vel.pede@sagittis.co.uk</t>
  </si>
  <si>
    <t>Lectus Sit Amet Limited</t>
  </si>
  <si>
    <t>Zenia</t>
  </si>
  <si>
    <t>Lindsey</t>
  </si>
  <si>
    <t>pellentesque.Sed@In.org</t>
  </si>
  <si>
    <t>Lorem Associates</t>
  </si>
  <si>
    <t>Shellie</t>
  </si>
  <si>
    <t>Hanson</t>
  </si>
  <si>
    <t>lacinia.mattis.Integer@tristiquepellentesquetellus.edu</t>
  </si>
  <si>
    <t>Luctus Vulputate LLC</t>
  </si>
  <si>
    <t>Hermione</t>
  </si>
  <si>
    <t>Bolton</t>
  </si>
  <si>
    <t>Nulla.tincidunt@molestie.org</t>
  </si>
  <si>
    <t>Magna LLC</t>
  </si>
  <si>
    <t>Julian</t>
  </si>
  <si>
    <t>Fletcher</t>
  </si>
  <si>
    <t>augue.scelerisque.mollis@neque.ca</t>
  </si>
  <si>
    <t>Rashad</t>
  </si>
  <si>
    <t>Clayton</t>
  </si>
  <si>
    <t>sodales.at.velit@tellusAeneanegestas.com</t>
  </si>
  <si>
    <t>Malesuada Ut Sem Corp.</t>
  </si>
  <si>
    <t>Dalton</t>
  </si>
  <si>
    <t>Atkins</t>
  </si>
  <si>
    <t>Proin.sed@Namconsequat.edu</t>
  </si>
  <si>
    <t>Mauris Aliquam PC</t>
  </si>
  <si>
    <t>Sharon</t>
  </si>
  <si>
    <t>Collier</t>
  </si>
  <si>
    <t>porttitor@senectus.edu</t>
  </si>
  <si>
    <t>Mauris Associates</t>
  </si>
  <si>
    <t>Gannon</t>
  </si>
  <si>
    <t>Duffy</t>
  </si>
  <si>
    <t>arcu@Vestibulumut.org</t>
  </si>
  <si>
    <t>Mauris Ltd</t>
  </si>
  <si>
    <t>Jayme</t>
  </si>
  <si>
    <t>Ellison</t>
  </si>
  <si>
    <t>inceptos.hymenaeos.Mauris@dignissimmagnaa.edu</t>
  </si>
  <si>
    <t>Metus Corporation</t>
  </si>
  <si>
    <t>Fulton</t>
  </si>
  <si>
    <t>Salas</t>
  </si>
  <si>
    <t>consequat.lectus@vulputateveliteu.edu</t>
  </si>
  <si>
    <t>Metus Urna Consulting</t>
  </si>
  <si>
    <t>Cheryl</t>
  </si>
  <si>
    <t>Hendrix</t>
  </si>
  <si>
    <t>parturient.montes.nascetur@cursus.edu</t>
  </si>
  <si>
    <t>Metus Vitae Velit Consulting</t>
  </si>
  <si>
    <t>Jermaine</t>
  </si>
  <si>
    <t>Bernard</t>
  </si>
  <si>
    <t>dictum.Phasellus@fringillapurus.edu</t>
  </si>
  <si>
    <t>Morbi Neque Company</t>
  </si>
  <si>
    <t>Levi</t>
  </si>
  <si>
    <t>Sexton</t>
  </si>
  <si>
    <t>tempor.lorem@dictum.org</t>
  </si>
  <si>
    <t>Mus LLC</t>
  </si>
  <si>
    <t>Anne</t>
  </si>
  <si>
    <t>Ray</t>
  </si>
  <si>
    <t>Duis.cursus@ipsumSuspendisse.com</t>
  </si>
  <si>
    <t>Nec Corporation</t>
  </si>
  <si>
    <t>Ruth</t>
  </si>
  <si>
    <t>Stafford</t>
  </si>
  <si>
    <t>faucibus.orci.luctus@Nunc.com</t>
  </si>
  <si>
    <t>Neque In LLC</t>
  </si>
  <si>
    <t>Brennan</t>
  </si>
  <si>
    <t>Barron</t>
  </si>
  <si>
    <t>urna.Nullam.lobortis@quamafelis.edu</t>
  </si>
  <si>
    <t>Nibh Phasellus Industries</t>
  </si>
  <si>
    <t>Zane</t>
  </si>
  <si>
    <t>Long</t>
  </si>
  <si>
    <t>ornare.placerat@Maurismolestiepharetra.ca</t>
  </si>
  <si>
    <t>Non LLP</t>
  </si>
  <si>
    <t>Lucy</t>
  </si>
  <si>
    <t>Coffey</t>
  </si>
  <si>
    <t>mi.eleifend.egestas@justoeuarcu.com</t>
  </si>
  <si>
    <t>Non Lobortis Quis Ltd</t>
  </si>
  <si>
    <t>Jasmine</t>
  </si>
  <si>
    <t>Charles</t>
  </si>
  <si>
    <t>vel.lectus.Cum@Nullasempertellus.net</t>
  </si>
  <si>
    <t>Nostra Per Incorporated</t>
  </si>
  <si>
    <t>Maisie</t>
  </si>
  <si>
    <t>Chambers</t>
  </si>
  <si>
    <t>tincidunt.nunc.ac@etipsumcursus.org</t>
  </si>
  <si>
    <t>Nostra Per Institute</t>
  </si>
  <si>
    <t>Hamish</t>
  </si>
  <si>
    <t>Walton</t>
  </si>
  <si>
    <t>dolor.vitae.dolor@nequepellentesquemassa.co.uk</t>
  </si>
  <si>
    <t>Nulla Eu Neque Inc.</t>
  </si>
  <si>
    <t>Garth</t>
  </si>
  <si>
    <t>Floyd</t>
  </si>
  <si>
    <t>vitae.orci.Phasellus@pretiumaliquetmetus.com</t>
  </si>
  <si>
    <t>Nulla Facilisi Ltd</t>
  </si>
  <si>
    <t>Galena</t>
  </si>
  <si>
    <t>Harmon</t>
  </si>
  <si>
    <t>risus.Quisque@vitaesemper.edu</t>
  </si>
  <si>
    <t>Nulla Integer Urna Corp.</t>
  </si>
  <si>
    <t>Carl</t>
  </si>
  <si>
    <t>Snow</t>
  </si>
  <si>
    <t>diam.Sed@maurisInteger.net</t>
  </si>
  <si>
    <t>Nunc Ac Company</t>
  </si>
  <si>
    <t>Lucas</t>
  </si>
  <si>
    <t>commodo.auctor.velit@eleifend.co.uk</t>
  </si>
  <si>
    <t>Nunc Sed Institute</t>
  </si>
  <si>
    <t>Jessica</t>
  </si>
  <si>
    <t>Mann</t>
  </si>
  <si>
    <t>gravida.nunc@urna.ca</t>
  </si>
  <si>
    <t>Ornare Placerat Orci Company</t>
  </si>
  <si>
    <t>Dexter</t>
  </si>
  <si>
    <t>Bauer</t>
  </si>
  <si>
    <t>Vestibulum@semperegestas.ca</t>
  </si>
  <si>
    <t>Ornare Sagittis Industries</t>
  </si>
  <si>
    <t>Imani</t>
  </si>
  <si>
    <t>Whitfield</t>
  </si>
  <si>
    <t>lorem@parturientmontes.ca</t>
  </si>
  <si>
    <t>Placerat changed</t>
  </si>
  <si>
    <t>Jakeem</t>
  </si>
  <si>
    <t>Rojas</t>
  </si>
  <si>
    <t>cursus@atliberoMorbi.org</t>
  </si>
  <si>
    <t>Porttitor Tellus Corporation</t>
  </si>
  <si>
    <t>Tyrone</t>
  </si>
  <si>
    <t>Cooper</t>
  </si>
  <si>
    <t>ante.Vivamus@Donecnibhenim.edu</t>
  </si>
  <si>
    <t>Posuere Cubilia Inc.</t>
  </si>
  <si>
    <t>Fuller</t>
  </si>
  <si>
    <t>Santiago</t>
  </si>
  <si>
    <t>vitae@semNullainterdum.org</t>
  </si>
  <si>
    <t>Purus Accumsan Interdum LLP</t>
  </si>
  <si>
    <t>Graiden</t>
  </si>
  <si>
    <t>Jenkins</t>
  </si>
  <si>
    <t>blandit.Nam.nulla@Aenean.co.uk</t>
  </si>
  <si>
    <t>Purus Duis Elementum Industries</t>
  </si>
  <si>
    <t>Merritt</t>
  </si>
  <si>
    <t>Cortez</t>
  </si>
  <si>
    <t>In.lorem@nec.edu</t>
  </si>
  <si>
    <t>Quis Corp.</t>
  </si>
  <si>
    <t>Gillian</t>
  </si>
  <si>
    <t>Ayers</t>
  </si>
  <si>
    <t>ac.eleifend@auctorodio.ca</t>
  </si>
  <si>
    <t>Quis Diam LLP</t>
  </si>
  <si>
    <t>Peter</t>
  </si>
  <si>
    <t>Barry</t>
  </si>
  <si>
    <t>ante.blandit@id.com</t>
  </si>
  <si>
    <t>Rhoncus Consulting</t>
  </si>
  <si>
    <t>Rivers</t>
  </si>
  <si>
    <t>Nulla.facilisis@Curae.edu</t>
  </si>
  <si>
    <t>Rutrum LLP</t>
  </si>
  <si>
    <t>Sasha</t>
  </si>
  <si>
    <t>Juarez</t>
  </si>
  <si>
    <t>cursus.luctus@porta.org</t>
  </si>
  <si>
    <t>Sed Dictum Foundation</t>
  </si>
  <si>
    <t>Ethan</t>
  </si>
  <si>
    <t>Small</t>
  </si>
  <si>
    <t>non.lacinia@lectus.co.uk</t>
  </si>
  <si>
    <t>Sed Dictum Institute</t>
  </si>
  <si>
    <t>Xerxes</t>
  </si>
  <si>
    <t>Pena</t>
  </si>
  <si>
    <t>tempor.diam@aliquet.org</t>
  </si>
  <si>
    <t>Sed Eu LLC</t>
  </si>
  <si>
    <t>Kaye</t>
  </si>
  <si>
    <t>Booth</t>
  </si>
  <si>
    <t>torquent@enimnonnisi.net</t>
  </si>
  <si>
    <t>Sed Eu Ltd</t>
  </si>
  <si>
    <t>Mohammad</t>
  </si>
  <si>
    <t>Santana</t>
  </si>
  <si>
    <t>Integer.mollis@Pellentesquehabitant.com</t>
  </si>
  <si>
    <t>Sem Industries</t>
  </si>
  <si>
    <t>Wang</t>
  </si>
  <si>
    <t>Wade</t>
  </si>
  <si>
    <t>fermentum.vel@turpisAliquam.co.uk</t>
  </si>
  <si>
    <t>Semper Egestas Ltd</t>
  </si>
  <si>
    <t>Ulysses</t>
  </si>
  <si>
    <t>Orr</t>
  </si>
  <si>
    <t>lobortis.risus.In@parturientmontes.edu</t>
  </si>
  <si>
    <t>Sit Amet Ltd</t>
  </si>
  <si>
    <t>Lacey</t>
  </si>
  <si>
    <t>Lee</t>
  </si>
  <si>
    <t>mi.Duis@feugiat.co.uk</t>
  </si>
  <si>
    <t>Sit Foundation</t>
  </si>
  <si>
    <t>Brynn</t>
  </si>
  <si>
    <t>Ferguson</t>
  </si>
  <si>
    <t>Ut.sagittis.lobortis@liberoduinec.edu</t>
  </si>
  <si>
    <t>Sit Industries</t>
  </si>
  <si>
    <t>Cairo</t>
  </si>
  <si>
    <t>Horne</t>
  </si>
  <si>
    <t>adipiscing@eu.net</t>
  </si>
  <si>
    <t>Sit LLP</t>
  </si>
  <si>
    <t>Otto</t>
  </si>
  <si>
    <t>Wilder</t>
  </si>
  <si>
    <t>dignissim@Phaselluselitpede.edu</t>
  </si>
  <si>
    <t>Sodales Nisi Industries</t>
  </si>
  <si>
    <t>Harper</t>
  </si>
  <si>
    <t>Shepard</t>
  </si>
  <si>
    <t>eros.non@sodales.org</t>
  </si>
  <si>
    <t>Candace</t>
  </si>
  <si>
    <t>Pearson</t>
  </si>
  <si>
    <t>In.tincidunt.congue@quis.com</t>
  </si>
  <si>
    <t>Stone</t>
  </si>
  <si>
    <t>Mclaughlin</t>
  </si>
  <si>
    <t>eget@sit.co.uk</t>
  </si>
  <si>
    <t>Mack</t>
  </si>
  <si>
    <t>Nunc.mauris.sapien@fringillaest.org</t>
  </si>
  <si>
    <t>Tellus Nunc Lectus Limited</t>
  </si>
  <si>
    <t>Talon</t>
  </si>
  <si>
    <t>aptent@orciconsectetuer.co.uk</t>
  </si>
  <si>
    <t>Macon</t>
  </si>
  <si>
    <t>Forbes</t>
  </si>
  <si>
    <t>convallis@gravida.ca</t>
  </si>
  <si>
    <t>Tempus Mauris Inc.</t>
  </si>
  <si>
    <t>Kevin</t>
  </si>
  <si>
    <t>Mccall</t>
  </si>
  <si>
    <t>Etiam@Phasellus.edu</t>
  </si>
  <si>
    <t>Turpis Corporation</t>
  </si>
  <si>
    <t>Ila</t>
  </si>
  <si>
    <t>Nash</t>
  </si>
  <si>
    <t>mi.tempor@euismod.net</t>
  </si>
  <si>
    <t>Ullamcorper Company</t>
  </si>
  <si>
    <t>Melyssa</t>
  </si>
  <si>
    <t>Hammond</t>
  </si>
  <si>
    <t>justo@consectetueradipiscingelit.ca</t>
  </si>
  <si>
    <t>Ut Dolor Associates</t>
  </si>
  <si>
    <t>Ariel</t>
  </si>
  <si>
    <t>Snyder</t>
  </si>
  <si>
    <t>sed.turpis.nec@magnamalesuadavel.co.uk</t>
  </si>
  <si>
    <t>Ut Erat Sed Inc.</t>
  </si>
  <si>
    <t>Patrick</t>
  </si>
  <si>
    <t>Conley</t>
  </si>
  <si>
    <t>magnis.dis@Inat.co.uk</t>
  </si>
  <si>
    <t>Ut Sem Limited</t>
  </si>
  <si>
    <t>Clarke</t>
  </si>
  <si>
    <t>Macias</t>
  </si>
  <si>
    <t>netus@Suspendisse.co.uk</t>
  </si>
  <si>
    <t>Risa</t>
  </si>
  <si>
    <t>Cox</t>
  </si>
  <si>
    <t>tempus.risus@natoquepenatibuset.ca</t>
  </si>
  <si>
    <t>Vehicula Risus PC</t>
  </si>
  <si>
    <t>Uma</t>
  </si>
  <si>
    <t>Phillips</t>
  </si>
  <si>
    <t>erat.neque.non@Aliquamfringillacursus.co.uk</t>
  </si>
  <si>
    <t>Velit Quisque PC</t>
  </si>
  <si>
    <t>Galvin</t>
  </si>
  <si>
    <t>Mosley</t>
  </si>
  <si>
    <t>erat.Sed@Curabiturvel.net</t>
  </si>
  <si>
    <t>Started On</t>
  </si>
  <si>
    <t>Total Sales</t>
  </si>
  <si>
    <t>Aliquet Phasellus</t>
  </si>
  <si>
    <t>Malesuada Malesuada</t>
  </si>
  <si>
    <t xml:space="preserve">Suspendisse Tristique </t>
  </si>
  <si>
    <t>Varius Nam Porttitor</t>
  </si>
  <si>
    <t>Text</t>
  </si>
  <si>
    <t>Number</t>
  </si>
  <si>
    <t>Date</t>
  </si>
  <si>
    <t>Equals</t>
  </si>
  <si>
    <t>Does not equal</t>
  </si>
  <si>
    <t>Contains</t>
  </si>
  <si>
    <t>Does not contain</t>
  </si>
  <si>
    <t>Is less than</t>
  </si>
  <si>
    <t>Is less than or equal to</t>
  </si>
  <si>
    <t>Is greater than</t>
  </si>
  <si>
    <t>Is before</t>
  </si>
  <si>
    <t>is on or before</t>
  </si>
  <si>
    <t>Is after</t>
  </si>
  <si>
    <t>is on or after</t>
  </si>
  <si>
    <t>is not on</t>
  </si>
  <si>
    <t>Is on</t>
  </si>
  <si>
    <t>is greater than or equal to</t>
  </si>
  <si>
    <t>'=*[value]*</t>
  </si>
  <si>
    <t>'=[value]</t>
  </si>
  <si>
    <t>'&lt;&gt;[value]</t>
  </si>
  <si>
    <t>'&lt;&gt;*[value]*</t>
  </si>
  <si>
    <t>Field</t>
  </si>
  <si>
    <t>Type</t>
  </si>
  <si>
    <t>Value</t>
  </si>
  <si>
    <t>Filter</t>
  </si>
  <si>
    <t>Commodo Hendrerit</t>
  </si>
  <si>
    <t>Donec Elementum Lorem</t>
  </si>
  <si>
    <t>Dolor Quam Elementum</t>
  </si>
  <si>
    <t>Suspendisse Aliquet</t>
  </si>
  <si>
    <t>Suspendisse Eleifend</t>
  </si>
  <si>
    <t>Tempor Diam Dictum</t>
  </si>
  <si>
    <t>DYNAMIC FILTERS</t>
  </si>
  <si>
    <t>CUSTOMER DATA</t>
  </si>
  <si>
    <t>CRITERIA</t>
  </si>
  <si>
    <t>RESULTS</t>
  </si>
  <si>
    <t>Filter By:</t>
  </si>
  <si>
    <t>ID #</t>
  </si>
  <si>
    <t>Header Type</t>
  </si>
  <si>
    <t>'&lt;[value]</t>
  </si>
  <si>
    <t>'&lt;=[value]</t>
  </si>
  <si>
    <t>Filter #</t>
  </si>
  <si>
    <t>'&gt;[value]</t>
  </si>
  <si>
    <t>'&gt;=[value]</t>
  </si>
  <si>
    <t>Format:</t>
  </si>
  <si>
    <t>@</t>
  </si>
  <si>
    <t>0.00</t>
  </si>
  <si>
    <t>mm/dd/yyyy</t>
  </si>
  <si>
    <t>Filter Option Table</t>
  </si>
  <si>
    <t>Filter Format</t>
  </si>
  <si>
    <t>Next Filter</t>
  </si>
  <si>
    <t>Last Filter</t>
  </si>
  <si>
    <t xml:space="preserve"> </t>
  </si>
  <si>
    <t>Filter Detail</t>
  </si>
  <si>
    <t>Country</t>
  </si>
  <si>
    <t>Mexico</t>
  </si>
  <si>
    <t>Guyana</t>
  </si>
  <si>
    <t>Burkina Faso</t>
  </si>
  <si>
    <t>India</t>
  </si>
  <si>
    <t>United States</t>
  </si>
  <si>
    <t>Falkland Islands</t>
  </si>
  <si>
    <t>Sierra Leone</t>
  </si>
  <si>
    <t>Faroe Islands</t>
  </si>
  <si>
    <t>Antarctica</t>
  </si>
  <si>
    <t>Germany</t>
  </si>
  <si>
    <t>Dominica</t>
  </si>
  <si>
    <t>Indonesia</t>
  </si>
  <si>
    <t>British Indian Ocean Territory</t>
  </si>
  <si>
    <t>Myanmar</t>
  </si>
  <si>
    <t>Grenada</t>
  </si>
  <si>
    <t>Martinique</t>
  </si>
  <si>
    <t>Turkey</t>
  </si>
  <si>
    <t>Seychelles</t>
  </si>
  <si>
    <t>French Guiana</t>
  </si>
  <si>
    <t>Austria</t>
  </si>
  <si>
    <t>Moldova</t>
  </si>
  <si>
    <t>Namibia</t>
  </si>
  <si>
    <t>Afghanistan</t>
  </si>
  <si>
    <t>South Georgia and The South Sandwich Islands</t>
  </si>
  <si>
    <t>Senegal</t>
  </si>
  <si>
    <t>Marshall Islands</t>
  </si>
  <si>
    <t>Croatia</t>
  </si>
  <si>
    <t>Timor-Leste</t>
  </si>
  <si>
    <t>Thailand</t>
  </si>
  <si>
    <t>Turks and Caicos Islands</t>
  </si>
  <si>
    <t>Pitcairn Islands</t>
  </si>
  <si>
    <t>Togo</t>
  </si>
  <si>
    <t>Monaco</t>
  </si>
  <si>
    <t>Bouvet Island</t>
  </si>
  <si>
    <t>Samoa</t>
  </si>
  <si>
    <t>Korea, South</t>
  </si>
  <si>
    <t>Belgium</t>
  </si>
  <si>
    <t>Eritrea</t>
  </si>
  <si>
    <t>Djibouti</t>
  </si>
  <si>
    <t>Guinea</t>
  </si>
  <si>
    <t>Sao Tome and Principe</t>
  </si>
  <si>
    <t>Iceland</t>
  </si>
  <si>
    <t>Antigua and Barbuda</t>
  </si>
  <si>
    <t>Heard Island and Mcdonald Islands</t>
  </si>
  <si>
    <t>San Marino</t>
  </si>
  <si>
    <t>Maldives</t>
  </si>
  <si>
    <t>Bhutan</t>
  </si>
  <si>
    <t>Wallis and Futuna</t>
  </si>
  <si>
    <t>Netherlands</t>
  </si>
  <si>
    <t>Colombia</t>
  </si>
  <si>
    <t>Australia</t>
  </si>
  <si>
    <t>Tokelau</t>
  </si>
  <si>
    <t>Palau</t>
  </si>
  <si>
    <t>Gibraltar</t>
  </si>
  <si>
    <t>Aruba</t>
  </si>
  <si>
    <t>Italy</t>
  </si>
  <si>
    <t>Rwanda</t>
  </si>
  <si>
    <t>Guam</t>
  </si>
  <si>
    <t>Libya</t>
  </si>
  <si>
    <t>Sri Lanka</t>
  </si>
  <si>
    <t>Andorra</t>
  </si>
  <si>
    <t>Ghana</t>
  </si>
  <si>
    <t>Argentina</t>
  </si>
  <si>
    <t>Belarus</t>
  </si>
  <si>
    <t>Saint Pierre and Miquelon</t>
  </si>
  <si>
    <t>Yemen</t>
  </si>
  <si>
    <t>Cambodia</t>
  </si>
  <si>
    <t>Greece</t>
  </si>
  <si>
    <t>Niue</t>
  </si>
  <si>
    <t>Saudi Arabia</t>
  </si>
  <si>
    <t>Chile</t>
  </si>
  <si>
    <t>Russian Federation</t>
  </si>
  <si>
    <t>Sudan</t>
  </si>
  <si>
    <t>Belize</t>
  </si>
  <si>
    <t>Liberia</t>
  </si>
  <si>
    <t>Iran</t>
  </si>
  <si>
    <t>Algeria</t>
  </si>
  <si>
    <t>Macao</t>
  </si>
  <si>
    <t>Brunei</t>
  </si>
  <si>
    <t>Malta</t>
  </si>
  <si>
    <t>France</t>
  </si>
  <si>
    <t>Malaysia</t>
  </si>
  <si>
    <t>Kuwait</t>
  </si>
  <si>
    <t>Cyprus</t>
  </si>
  <si>
    <t>Albania</t>
  </si>
  <si>
    <t>Macedonia</t>
  </si>
  <si>
    <t>Congo, the Democratic Republic of the</t>
  </si>
  <si>
    <t>Zimbabwe</t>
  </si>
  <si>
    <t>Pakistan</t>
  </si>
  <si>
    <t>Mayotte</t>
  </si>
  <si>
    <t>CUSTOM LIST</t>
  </si>
  <si>
    <t>Filter Shape Row</t>
  </si>
  <si>
    <t>Sel. Filter #</t>
  </si>
  <si>
    <t>a</t>
  </si>
  <si>
    <t>=*a*</t>
  </si>
  <si>
    <t>text</t>
  </si>
  <si>
    <t>&gt;1000</t>
  </si>
  <si>
    <t>Z</t>
  </si>
  <si>
    <t>&gt;1/15/2020</t>
  </si>
  <si>
    <t>&lt;=4000</t>
  </si>
  <si>
    <t>o</t>
  </si>
  <si>
    <t>=*o*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</si>
</sst>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\(&quot;$&quot;#,##0.00\)"/>
    <numFmt numFmtId="165" formatCode="_(&quot;$&quot;* #,##0.00_);_(&quot;$&quot;* \(#,##0.00\);_(&quot;$&quot;* &quot;-&quot;??_);_(@_)"/>
    <numFmt numFmtId="166" formatCode="[$-F800]dddd\,\ mmmm\ dd"/>
    <numFmt numFmtId="167" formatCode="[&lt;=9999999]###\-####;\(###\)\ ###\-####"/>
    <numFmt numFmtId="168" formatCode="mm/dd/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4" tint="-0.499984740745262"/>
      <name val="Arial Rounded MT Bold"/>
      <family val="2"/>
    </font>
    <font>
      <sz val="14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90">
        <stop position="0">
          <color theme="3" tint="0.40000610370189521"/>
        </stop>
        <stop position="1">
          <color theme="3" tint="-0.25098422193060094"/>
        </stop>
      </gradientFill>
    </fill>
    <fill>
      <patternFill patternType="solid">
        <fgColor theme="0"/>
        <bgColor auto="1"/>
      </patternFill>
    </fill>
    <fill>
      <gradientFill degree="90">
        <stop position="0">
          <color rgb="FF6A95C8"/>
        </stop>
        <stop position="1">
          <color theme="4" tint="0.40000610370189521"/>
        </stop>
      </gradient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rgb="FF0070C0"/>
      </top>
      <bottom style="thin">
        <color rgb="FF0070C0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1">
    <xf numFmtId="0" fontId="0" fillId="0" borderId="0"/>
    <xf numFmtId="165" fontId="1" fillId="0" borderId="0" applyFont="0" applyFill="0" applyBorder="0" applyAlignment="0" applyProtection="0"/>
    <xf numFmtId="0" fontId="1" fillId="5" borderId="1"/>
    <xf numFmtId="0" fontId="1" fillId="2" borderId="2">
      <alignment horizontal="right"/>
    </xf>
    <xf numFmtId="0" fontId="3" fillId="0" borderId="0" applyNumberFormat="0" applyFill="0" applyBorder="0" applyAlignment="0" applyProtection="0"/>
    <xf numFmtId="0" fontId="2" fillId="3" borderId="4" applyNumberFormat="0" applyAlignment="0"/>
    <xf numFmtId="0" fontId="2" fillId="4" borderId="3">
      <alignment horizontal="center"/>
    </xf>
    <xf numFmtId="0" fontId="4" fillId="0" borderId="0" applyFill="0" applyProtection="0"/>
    <xf numFmtId="0" fontId="1" fillId="2" borderId="2">
      <alignment horizontal="right"/>
    </xf>
    <xf numFmtId="0" fontId="1" fillId="5" borderId="1"/>
    <xf numFmtId="166" fontId="7" fillId="10" borderId="7">
      <alignment horizontal="center"/>
    </xf>
  </cellStyleXfs>
  <cellXfs count="56">
    <xf numFmtId="0" fontId="0" fillId="0" borderId="0" xfId="0"/>
    <xf numFmtId="165" fontId="0" fillId="0" borderId="0" xfId="1" applyFont="1"/>
    <xf numFmtId="0" fontId="0" fillId="0" borderId="5" xfId="0" quotePrefix="1" applyFill="1" applyBorder="1" applyAlignment="1">
      <alignment horizontal="center"/>
    </xf>
    <xf numFmtId="0" fontId="0" fillId="0" borderId="5" xfId="0" applyFill="1" applyBorder="1" applyAlignment="1">
      <alignment horizontal="left"/>
    </xf>
    <xf numFmtId="0" fontId="0" fillId="0" borderId="5" xfId="0" quotePrefix="1" applyFill="1" applyBorder="1" applyAlignment="1">
      <alignment horizontal="left"/>
    </xf>
    <xf numFmtId="0" fontId="0" fillId="0" borderId="5" xfId="0" applyFill="1" applyBorder="1" applyAlignment="1">
      <alignment horizontal="center"/>
    </xf>
    <xf numFmtId="165" fontId="0" fillId="0" borderId="0" xfId="1" applyFont="1" applyAlignment="1">
      <alignment horizontal="center"/>
    </xf>
    <xf numFmtId="0" fontId="0" fillId="0" borderId="0" xfId="0"/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2" borderId="0" xfId="0" applyFill="1" applyAlignment="1">
      <alignment horizontal="center"/>
    </xf>
    <xf numFmtId="14" fontId="0" fillId="2" borderId="0" xfId="0" applyNumberFormat="1" applyFill="1"/>
    <xf numFmtId="14" fontId="0" fillId="0" borderId="0" xfId="0" applyNumberFormat="1" applyAlignment="1">
      <alignment horizontal="center"/>
    </xf>
    <xf numFmtId="0" fontId="8" fillId="4" borderId="0" xfId="0" applyFont="1" applyFill="1"/>
    <xf numFmtId="167" fontId="0" fillId="2" borderId="0" xfId="0" applyNumberFormat="1" applyFill="1"/>
    <xf numFmtId="167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10" fillId="3" borderId="0" xfId="0" applyFont="1" applyFill="1"/>
    <xf numFmtId="0" fontId="0" fillId="13" borderId="5" xfId="0" quotePrefix="1" applyNumberFormat="1" applyFill="1" applyBorder="1" applyAlignment="1">
      <alignment horizontal="center"/>
    </xf>
    <xf numFmtId="0" fontId="0" fillId="13" borderId="5" xfId="0" applyFill="1" applyBorder="1" applyAlignment="1">
      <alignment horizontal="right"/>
    </xf>
    <xf numFmtId="0" fontId="0" fillId="13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 wrapText="1"/>
    </xf>
    <xf numFmtId="0" fontId="0" fillId="8" borderId="5" xfId="0" applyFill="1" applyBorder="1"/>
    <xf numFmtId="0" fontId="0" fillId="8" borderId="5" xfId="0" applyFill="1" applyBorder="1" applyAlignment="1">
      <alignment horizontal="left"/>
    </xf>
    <xf numFmtId="0" fontId="0" fillId="8" borderId="5" xfId="0" quotePrefix="1" applyFill="1" applyBorder="1"/>
    <xf numFmtId="164" fontId="0" fillId="2" borderId="0" xfId="1" applyNumberFormat="1" applyFont="1" applyFill="1"/>
    <xf numFmtId="164" fontId="0" fillId="2" borderId="0" xfId="1" applyNumberFormat="1" applyFont="1" applyFill="1" applyAlignment="1">
      <alignment horizontal="center"/>
    </xf>
    <xf numFmtId="14" fontId="0" fillId="2" borderId="0" xfId="0" applyNumberFormat="1" applyFill="1" applyAlignment="1">
      <alignment horizontal="left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0" fontId="12" fillId="4" borderId="8" xfId="0" applyFont="1" applyFill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8" fillId="11" borderId="8" xfId="0" applyFont="1" applyFill="1" applyBorder="1"/>
    <xf numFmtId="0" fontId="0" fillId="14" borderId="5" xfId="0" applyFill="1" applyBorder="1"/>
    <xf numFmtId="0" fontId="0" fillId="14" borderId="5" xfId="0" applyFill="1" applyBorder="1" applyAlignment="1">
      <alignment horizontal="center"/>
    </xf>
    <xf numFmtId="0" fontId="0" fillId="14" borderId="9" xfId="0" applyFill="1" applyBorder="1"/>
    <xf numFmtId="0" fontId="0" fillId="8" borderId="5" xfId="0" applyFill="1" applyBorder="1" applyAlignment="1">
      <alignment horizontal="center" wrapText="1"/>
    </xf>
    <xf numFmtId="0" fontId="0" fillId="8" borderId="5" xfId="0" applyFill="1" applyBorder="1" applyAlignment="1">
      <alignment horizontal="center"/>
    </xf>
    <xf numFmtId="168" fontId="0" fillId="0" borderId="0" xfId="0" applyNumberFormat="1"/>
    <xf numFmtId="2" fontId="0" fillId="0" borderId="0" xfId="0" applyNumberFormat="1"/>
    <xf numFmtId="0" fontId="8" fillId="3" borderId="8" xfId="0" applyFont="1" applyFill="1" applyBorder="1" applyAlignment="1">
      <alignment horizontal="right"/>
    </xf>
    <xf numFmtId="49" fontId="8" fillId="11" borderId="8" xfId="0" applyNumberFormat="1" applyFont="1" applyFill="1" applyBorder="1"/>
    <xf numFmtId="0" fontId="11" fillId="3" borderId="8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9" fillId="12" borderId="10" xfId="0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5" fillId="6" borderId="6" xfId="0" applyFont="1" applyFill="1" applyBorder="1" applyAlignment="1">
      <alignment horizontal="center"/>
    </xf>
    <xf numFmtId="0" fontId="2" fillId="9" borderId="5" xfId="0" applyFont="1" applyFill="1" applyBorder="1" applyAlignment="1">
      <alignment horizontal="center"/>
    </xf>
  </cellXfs>
  <cellStyles count="11">
    <cellStyle name="Currency" xfId="1" builtinId="4"/>
    <cellStyle name="DateRow" xfId="10" xr:uid="{00000000-0005-0000-0000-000001000000}"/>
    <cellStyle name="FieldStyle" xfId="2" xr:uid="{00000000-0005-0000-0000-000002000000}"/>
    <cellStyle name="Hyperlink" xfId="4" builtinId="8" customBuiltin="1"/>
    <cellStyle name="LabelStyle" xfId="3" xr:uid="{00000000-0005-0000-0000-000004000000}"/>
    <cellStyle name="MiddleHeader" xfId="6" xr:uid="{00000000-0005-0000-0000-000005000000}"/>
    <cellStyle name="Normal" xfId="0" builtinId="0"/>
    <cellStyle name="Normal 2" xfId="7" xr:uid="{00000000-0005-0000-0000-000007000000}"/>
    <cellStyle name="Style 1" xfId="8" xr:uid="{00000000-0005-0000-0000-000008000000}"/>
    <cellStyle name="Style 2" xfId="9" xr:uid="{00000000-0005-0000-0000-000009000000}"/>
    <cellStyle name="TopHeader" xfId="5" xr:uid="{00000000-0005-0000-0000-00000A000000}"/>
  </cellStyles>
  <dxfs count="3">
    <dxf>
      <fill>
        <patternFill>
          <bgColor rgb="FFE2F2F6"/>
        </patternFill>
      </fill>
      <border>
        <left style="hair">
          <color theme="8" tint="0.59996337778862885"/>
        </left>
        <right style="hair">
          <color theme="8" tint="0.59996337778862885"/>
        </right>
        <vertical/>
        <horizontal/>
      </border>
    </dxf>
    <dxf>
      <fill>
        <patternFill>
          <bgColor rgb="FFECF2F8"/>
        </patternFill>
      </fill>
      <border>
        <left style="hair">
          <color theme="4" tint="-0.24994659260841701"/>
        </left>
        <right style="hair">
          <color theme="4" tint="-0.24994659260841701"/>
        </right>
      </border>
    </dxf>
    <dxf>
      <fill>
        <patternFill>
          <bgColor theme="0"/>
        </patternFill>
      </fill>
      <border>
        <left style="hair">
          <color theme="4" tint="-0.24994659260841701"/>
        </left>
        <right style="hair">
          <color theme="4" tint="-0.24994659260841701"/>
        </right>
      </border>
    </dxf>
  </dxfs>
  <tableStyles count="0" defaultTableStyle="TableStyleMedium2" defaultPivotStyle="PivotStyleLight16"/>
  <colors>
    <mruColors>
      <color rgb="FFECF2F8"/>
      <color rgb="FFE2F2F6"/>
      <color rgb="FF6A95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hyperlink" Target="https://bit.ly/100WKBK-FreeWkbk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hyperlink" Target="https://youtu.be/ppYjgSwRlXc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119346</xdr:colOff>
      <xdr:row>1</xdr:row>
      <xdr:rowOff>13608</xdr:rowOff>
    </xdr:from>
    <xdr:to>
      <xdr:col>11</xdr:col>
      <xdr:colOff>408213</xdr:colOff>
      <xdr:row>2</xdr:row>
      <xdr:rowOff>5444</xdr:rowOff>
    </xdr:to>
    <xdr:grpSp>
      <xdr:nvGrpSpPr>
        <xdr:cNvPr id="13" name="UpdateFiltBtn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9568146" y="556533"/>
          <a:ext cx="1117542" cy="258536"/>
          <a:chOff x="9513718" y="1012372"/>
          <a:chExt cx="1116181" cy="258536"/>
        </a:xfrm>
      </xdr:grpSpPr>
      <xdr:sp macro="[0]!UpdateFilter" textlink="">
        <xdr:nvSpPr>
          <xdr:cNvPr id="25" name="Rounded Rectangle 24" hidden="1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9515474" y="1012372"/>
            <a:ext cx="1114425" cy="258536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Update Filter</a:t>
            </a:r>
          </a:p>
        </xdr:txBody>
      </xdr:sp>
      <xdr:pic macro="[0]!UpdateFilter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13718" y="1037829"/>
            <a:ext cx="210312" cy="210312"/>
          </a:xfrm>
          <a:prstGeom prst="rect">
            <a:avLst/>
          </a:prstGeom>
        </xdr:spPr>
      </xdr:pic>
      <xdr:pic macro="[0]!UpdateFilter">
        <xdr:nvPicPr>
          <xdr:cNvPr id="3" name="Picture 2" hidden="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79750" y="1023578"/>
            <a:ext cx="210312" cy="21031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242071</xdr:colOff>
      <xdr:row>0</xdr:row>
      <xdr:rowOff>8186</xdr:rowOff>
    </xdr:from>
    <xdr:to>
      <xdr:col>6</xdr:col>
      <xdr:colOff>200915</xdr:colOff>
      <xdr:row>2</xdr:row>
      <xdr:rowOff>63012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7302" y="8186"/>
          <a:ext cx="860055" cy="860788"/>
        </a:xfrm>
        <a:prstGeom prst="rect">
          <a:avLst/>
        </a:prstGeom>
      </xdr:spPr>
    </xdr:pic>
    <xdr:clientData/>
  </xdr:twoCellAnchor>
  <xdr:twoCellAnchor>
    <xdr:from>
      <xdr:col>10</xdr:col>
      <xdr:colOff>142875</xdr:colOff>
      <xdr:row>0</xdr:row>
      <xdr:rowOff>537483</xdr:rowOff>
    </xdr:from>
    <xdr:to>
      <xdr:col>11</xdr:col>
      <xdr:colOff>390525</xdr:colOff>
      <xdr:row>1</xdr:row>
      <xdr:rowOff>253094</xdr:rowOff>
    </xdr:to>
    <xdr:grpSp>
      <xdr:nvGrpSpPr>
        <xdr:cNvPr id="14" name="AddFiltBt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9591675" y="537483"/>
          <a:ext cx="1076325" cy="258536"/>
          <a:chOff x="9482818" y="533400"/>
          <a:chExt cx="1074964" cy="258536"/>
        </a:xfrm>
      </xdr:grpSpPr>
      <xdr:sp macro="[0]!AddFilter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9482818" y="533400"/>
            <a:ext cx="1074964" cy="258536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 Filter</a:t>
            </a:r>
          </a:p>
        </xdr:txBody>
      </xdr:sp>
      <xdr:pic macro="[0]!AddFilte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61343" y="546611"/>
            <a:ext cx="210312" cy="210312"/>
          </a:xfrm>
          <a:prstGeom prst="rect">
            <a:avLst/>
          </a:prstGeom>
        </xdr:spPr>
      </xdr:pic>
      <xdr:pic macro="[0]!AddFilter"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74679" y="542925"/>
            <a:ext cx="146304" cy="146304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224517</xdr:colOff>
      <xdr:row>0</xdr:row>
      <xdr:rowOff>539042</xdr:rowOff>
    </xdr:from>
    <xdr:to>
      <xdr:col>13</xdr:col>
      <xdr:colOff>591909</xdr:colOff>
      <xdr:row>1</xdr:row>
      <xdr:rowOff>254653</xdr:rowOff>
    </xdr:to>
    <xdr:grpSp>
      <xdr:nvGrpSpPr>
        <xdr:cNvPr id="11" name="ClearFiltBtn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416392" y="539042"/>
          <a:ext cx="1072242" cy="258536"/>
          <a:chOff x="11017703" y="794658"/>
          <a:chExt cx="1074964" cy="258536"/>
        </a:xfrm>
      </xdr:grpSpPr>
      <xdr:sp macro="[0]!ClearFilters" textlink="">
        <xdr:nvSpPr>
          <xdr:cNvPr id="26" name="Rounded 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1017703" y="794658"/>
            <a:ext cx="1074964" cy="258536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Clear</a:t>
            </a:r>
            <a:r>
              <a:rPr lang="en-US" sz="1100" baseline="0"/>
              <a:t> </a:t>
            </a:r>
            <a:r>
              <a:rPr lang="en-US" sz="1100"/>
              <a:t>Filter</a:t>
            </a:r>
          </a:p>
        </xdr:txBody>
      </xdr:sp>
      <xdr:pic macro="[0]!ClearFilters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45882" y="810590"/>
            <a:ext cx="210312" cy="210312"/>
          </a:xfrm>
          <a:prstGeom prst="rect">
            <a:avLst/>
          </a:prstGeom>
        </xdr:spPr>
      </xdr:pic>
      <xdr:pic macro="[0]!ClearFilters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173468" y="860614"/>
            <a:ext cx="125904" cy="125904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22777</xdr:colOff>
      <xdr:row>3</xdr:row>
      <xdr:rowOff>70660</xdr:rowOff>
    </xdr:from>
    <xdr:to>
      <xdr:col>2</xdr:col>
      <xdr:colOff>851038</xdr:colOff>
      <xdr:row>3</xdr:row>
      <xdr:rowOff>271828</xdr:rowOff>
    </xdr:to>
    <xdr:sp macro="" textlink="">
      <xdr:nvSpPr>
        <xdr:cNvPr id="15" name="SampleFilte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421761" y="1261285"/>
          <a:ext cx="828261" cy="201168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151364</xdr:colOff>
      <xdr:row>3</xdr:row>
      <xdr:rowOff>80185</xdr:rowOff>
    </xdr:from>
    <xdr:to>
      <xdr:col>3</xdr:col>
      <xdr:colOff>352532</xdr:colOff>
      <xdr:row>3</xdr:row>
      <xdr:rowOff>281353</xdr:rowOff>
    </xdr:to>
    <xdr:sp macro="" textlink="">
      <xdr:nvSpPr>
        <xdr:cNvPr id="35" name="SampleClear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502848" y="1270810"/>
          <a:ext cx="201168" cy="201168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X</a:t>
          </a:r>
        </a:p>
      </xdr:txBody>
    </xdr:sp>
    <xdr:clientData/>
  </xdr:twoCellAnchor>
  <xdr:twoCellAnchor editAs="oneCell">
    <xdr:from>
      <xdr:col>14</xdr:col>
      <xdr:colOff>771525</xdr:colOff>
      <xdr:row>11</xdr:row>
      <xdr:rowOff>66675</xdr:rowOff>
    </xdr:from>
    <xdr:to>
      <xdr:col>18</xdr:col>
      <xdr:colOff>144509</xdr:colOff>
      <xdr:row>30</xdr:row>
      <xdr:rowOff>104775</xdr:rowOff>
    </xdr:to>
    <xdr:pic>
      <xdr:nvPicPr>
        <xdr:cNvPr id="77" name="Picture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300" y="2981325"/>
          <a:ext cx="3297284" cy="3657600"/>
        </a:xfrm>
        <a:prstGeom prst="rect">
          <a:avLst/>
        </a:prstGeom>
      </xdr:spPr>
    </xdr:pic>
    <xdr:clientData/>
  </xdr:twoCellAnchor>
  <xdr:twoCellAnchor>
    <xdr:from>
      <xdr:col>5</xdr:col>
      <xdr:colOff>358775</xdr:colOff>
      <xdr:row>2</xdr:row>
      <xdr:rowOff>76200</xdr:rowOff>
    </xdr:from>
    <xdr:to>
      <xdr:col>7</xdr:col>
      <xdr:colOff>1163907</xdr:colOff>
      <xdr:row>2</xdr:row>
      <xdr:rowOff>292100</xdr:rowOff>
    </xdr:to>
    <xdr:sp macro="LoadFilter" textlink="">
      <xdr:nvSpPr>
        <xdr:cNvPr id="34" name="Filter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4064000" y="885825"/>
          <a:ext cx="1948132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en-US" sz="1100"/>
            <a:t>Company Name Contains: a</a:t>
          </a:r>
        </a:p>
      </xdr:txBody>
    </xdr:sp>
    <xdr:clientData/>
  </xdr:twoCellAnchor>
  <xdr:twoCellAnchor>
    <xdr:from>
      <xdr:col>7</xdr:col>
      <xdr:colOff>1425575</xdr:colOff>
      <xdr:row>2</xdr:row>
      <xdr:rowOff>76200</xdr:rowOff>
    </xdr:from>
    <xdr:to>
      <xdr:col>9</xdr:col>
      <xdr:colOff>240205</xdr:colOff>
      <xdr:row>2</xdr:row>
      <xdr:rowOff>292100</xdr:rowOff>
    </xdr:to>
    <xdr:sp macro="LoadFilter" textlink="">
      <xdr:nvSpPr>
        <xdr:cNvPr id="37" name="Filter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73800" y="885825"/>
          <a:ext cx="2196005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en-US" sz="1100"/>
            <a:t>Total Sales Is greater than: 1000</a:t>
          </a:r>
        </a:p>
      </xdr:txBody>
    </xdr:sp>
    <xdr:clientData/>
  </xdr:twoCellAnchor>
  <xdr:twoCellAnchor>
    <xdr:from>
      <xdr:col>9</xdr:col>
      <xdr:colOff>508000</xdr:colOff>
      <xdr:row>2</xdr:row>
      <xdr:rowOff>76200</xdr:rowOff>
    </xdr:from>
    <xdr:to>
      <xdr:col>11</xdr:col>
      <xdr:colOff>544207</xdr:colOff>
      <xdr:row>2</xdr:row>
      <xdr:rowOff>292100</xdr:rowOff>
    </xdr:to>
    <xdr:sp macro="LoadFilter" textlink="">
      <xdr:nvSpPr>
        <xdr:cNvPr id="39" name="Filter3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8737600" y="885825"/>
          <a:ext cx="2084082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en-US" sz="1100"/>
            <a:t>Started On Is after: 1/15/2020</a:t>
          </a:r>
        </a:p>
      </xdr:txBody>
    </xdr:sp>
    <xdr:clientData/>
  </xdr:twoCellAnchor>
  <xdr:twoCellAnchor>
    <xdr:from>
      <xdr:col>11</xdr:col>
      <xdr:colOff>809625</xdr:colOff>
      <xdr:row>2</xdr:row>
      <xdr:rowOff>76200</xdr:rowOff>
    </xdr:from>
    <xdr:to>
      <xdr:col>14</xdr:col>
      <xdr:colOff>1055309</xdr:colOff>
      <xdr:row>2</xdr:row>
      <xdr:rowOff>292100</xdr:rowOff>
    </xdr:to>
    <xdr:sp macro="LoadFilter" textlink="">
      <xdr:nvSpPr>
        <xdr:cNvPr id="41" name="Filter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087100" y="885825"/>
          <a:ext cx="2645984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en-US" sz="1100"/>
            <a:t>Total Sales Is less than or equal to: 4000</a:t>
          </a:r>
        </a:p>
      </xdr:txBody>
    </xdr:sp>
    <xdr:clientData/>
  </xdr:twoCellAnchor>
  <xdr:twoCellAnchor>
    <xdr:from>
      <xdr:col>5</xdr:col>
      <xdr:colOff>358775</xdr:colOff>
      <xdr:row>3</xdr:row>
      <xdr:rowOff>76200</xdr:rowOff>
    </xdr:from>
    <xdr:to>
      <xdr:col>7</xdr:col>
      <xdr:colOff>868015</xdr:colOff>
      <xdr:row>3</xdr:row>
      <xdr:rowOff>292100</xdr:rowOff>
    </xdr:to>
    <xdr:sp macro="LoadFilter" textlink="">
      <xdr:nvSpPr>
        <xdr:cNvPr id="43" name="Filter5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4064000" y="1266825"/>
          <a:ext cx="1652240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en-US" sz="1100"/>
            <a:t>First Name Contains: a</a:t>
          </a:r>
        </a:p>
      </xdr:txBody>
    </xdr:sp>
    <xdr:clientData/>
  </xdr:twoCellAnchor>
  <xdr:twoCellAnchor>
    <xdr:from>
      <xdr:col>7</xdr:col>
      <xdr:colOff>948007</xdr:colOff>
      <xdr:row>2</xdr:row>
      <xdr:rowOff>79375</xdr:rowOff>
    </xdr:from>
    <xdr:to>
      <xdr:col>7</xdr:col>
      <xdr:colOff>1163907</xdr:colOff>
      <xdr:row>2</xdr:row>
      <xdr:rowOff>295275</xdr:rowOff>
    </xdr:to>
    <xdr:sp macro="RemoveFilter" textlink="">
      <xdr:nvSpPr>
        <xdr:cNvPr id="36" name="Clear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796232" y="889000"/>
          <a:ext cx="215900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X</a:t>
          </a:r>
        </a:p>
      </xdr:txBody>
    </xdr:sp>
    <xdr:clientData/>
  </xdr:twoCellAnchor>
  <xdr:twoCellAnchor>
    <xdr:from>
      <xdr:col>9</xdr:col>
      <xdr:colOff>24305</xdr:colOff>
      <xdr:row>2</xdr:row>
      <xdr:rowOff>79375</xdr:rowOff>
    </xdr:from>
    <xdr:to>
      <xdr:col>9</xdr:col>
      <xdr:colOff>240205</xdr:colOff>
      <xdr:row>2</xdr:row>
      <xdr:rowOff>295275</xdr:rowOff>
    </xdr:to>
    <xdr:sp macro="RemoveFilter" textlink="">
      <xdr:nvSpPr>
        <xdr:cNvPr id="38" name="Clear2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8253905" y="889000"/>
          <a:ext cx="215900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X</a:t>
          </a:r>
        </a:p>
      </xdr:txBody>
    </xdr:sp>
    <xdr:clientData/>
  </xdr:twoCellAnchor>
  <xdr:twoCellAnchor>
    <xdr:from>
      <xdr:col>11</xdr:col>
      <xdr:colOff>328307</xdr:colOff>
      <xdr:row>2</xdr:row>
      <xdr:rowOff>79375</xdr:rowOff>
    </xdr:from>
    <xdr:to>
      <xdr:col>11</xdr:col>
      <xdr:colOff>544207</xdr:colOff>
      <xdr:row>2</xdr:row>
      <xdr:rowOff>295275</xdr:rowOff>
    </xdr:to>
    <xdr:sp macro="RemoveFilter" textlink="">
      <xdr:nvSpPr>
        <xdr:cNvPr id="40" name="Clear3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0605782" y="889000"/>
          <a:ext cx="215900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X</a:t>
          </a:r>
        </a:p>
      </xdr:txBody>
    </xdr:sp>
    <xdr:clientData/>
  </xdr:twoCellAnchor>
  <xdr:twoCellAnchor>
    <xdr:from>
      <xdr:col>14</xdr:col>
      <xdr:colOff>839409</xdr:colOff>
      <xdr:row>2</xdr:row>
      <xdr:rowOff>79375</xdr:rowOff>
    </xdr:from>
    <xdr:to>
      <xdr:col>14</xdr:col>
      <xdr:colOff>1055309</xdr:colOff>
      <xdr:row>2</xdr:row>
      <xdr:rowOff>295275</xdr:rowOff>
    </xdr:to>
    <xdr:sp macro="RemoveFilter" textlink="">
      <xdr:nvSpPr>
        <xdr:cNvPr id="42" name="Clear4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3517184" y="889000"/>
          <a:ext cx="215900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X</a:t>
          </a:r>
        </a:p>
      </xdr:txBody>
    </xdr:sp>
    <xdr:clientData/>
  </xdr:twoCellAnchor>
  <xdr:twoCellAnchor>
    <xdr:from>
      <xdr:col>7</xdr:col>
      <xdr:colOff>652115</xdr:colOff>
      <xdr:row>3</xdr:row>
      <xdr:rowOff>79375</xdr:rowOff>
    </xdr:from>
    <xdr:to>
      <xdr:col>7</xdr:col>
      <xdr:colOff>868015</xdr:colOff>
      <xdr:row>3</xdr:row>
      <xdr:rowOff>295275</xdr:rowOff>
    </xdr:to>
    <xdr:sp macro="RemoveFilter" textlink="">
      <xdr:nvSpPr>
        <xdr:cNvPr id="44" name="Clear5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5500340" y="1270000"/>
          <a:ext cx="215900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X</a:t>
          </a:r>
        </a:p>
      </xdr:txBody>
    </xdr:sp>
    <xdr:clientData/>
  </xdr:twoCellAnchor>
  <xdr:twoCellAnchor>
    <xdr:from>
      <xdr:col>7</xdr:col>
      <xdr:colOff>993775</xdr:colOff>
      <xdr:row>3</xdr:row>
      <xdr:rowOff>76200</xdr:rowOff>
    </xdr:from>
    <xdr:to>
      <xdr:col>8</xdr:col>
      <xdr:colOff>879981</xdr:colOff>
      <xdr:row>3</xdr:row>
      <xdr:rowOff>292100</xdr:rowOff>
    </xdr:to>
    <xdr:sp macro="LoadFilter" textlink="">
      <xdr:nvSpPr>
        <xdr:cNvPr id="45" name="Filter6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5842000" y="1266825"/>
          <a:ext cx="1353056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r>
            <a:rPr lang="en-US" sz="1100"/>
            <a:t>Email Contains: o</a:t>
          </a:r>
        </a:p>
      </xdr:txBody>
    </xdr:sp>
    <xdr:clientData/>
  </xdr:twoCellAnchor>
  <xdr:twoCellAnchor>
    <xdr:from>
      <xdr:col>8</xdr:col>
      <xdr:colOff>664081</xdr:colOff>
      <xdr:row>3</xdr:row>
      <xdr:rowOff>79375</xdr:rowOff>
    </xdr:from>
    <xdr:to>
      <xdr:col>8</xdr:col>
      <xdr:colOff>879981</xdr:colOff>
      <xdr:row>3</xdr:row>
      <xdr:rowOff>295275</xdr:rowOff>
    </xdr:to>
    <xdr:sp macro="RemoveFilter" textlink="">
      <xdr:nvSpPr>
        <xdr:cNvPr id="46" name="Clear6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6979156" y="1270000"/>
          <a:ext cx="215900" cy="215900"/>
        </a:xfrm>
        <a:prstGeom prst="roundRect">
          <a:avLst>
            <a:gd name="adj" fmla="val 50000"/>
          </a:avLst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X</a:t>
          </a:r>
        </a:p>
      </xdr:txBody>
    </xdr:sp>
    <xdr:clientData/>
  </xdr:twoCellAnchor>
  <xdr:twoCellAnchor>
    <xdr:from>
      <xdr:col>13</xdr:col>
      <xdr:colOff>723900</xdr:colOff>
      <xdr:row>0</xdr:row>
      <xdr:rowOff>228600</xdr:rowOff>
    </xdr:from>
    <xdr:to>
      <xdr:col>15</xdr:col>
      <xdr:colOff>476250</xdr:colOff>
      <xdr:row>2</xdr:row>
      <xdr:rowOff>9524</xdr:rowOff>
    </xdr:to>
    <xdr:grpSp>
      <xdr:nvGrpSpPr>
        <xdr:cNvPr id="30" name="YouTubeLink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46F2B59-8494-4BFE-B343-16128CB81B3D}"/>
            </a:ext>
          </a:extLst>
        </xdr:cNvPr>
        <xdr:cNvGrpSpPr/>
      </xdr:nvGrpSpPr>
      <xdr:grpSpPr>
        <a:xfrm>
          <a:off x="12620625" y="228600"/>
          <a:ext cx="2066925" cy="590549"/>
          <a:chOff x="10267950" y="76200"/>
          <a:chExt cx="2066925" cy="590549"/>
        </a:xfrm>
      </xdr:grpSpPr>
      <xdr:sp macro="" textlink="">
        <xdr:nvSpPr>
          <xdr:cNvPr id="31" name="Rounded Rectangle 1">
            <a:extLst>
              <a:ext uri="{FF2B5EF4-FFF2-40B4-BE49-F238E27FC236}">
                <a16:creationId xmlns:a16="http://schemas.microsoft.com/office/drawing/2014/main" id="{5BA5F043-66E8-4F22-8FE8-67CDE95908D2}"/>
              </a:ext>
            </a:extLst>
          </xdr:cNvPr>
          <xdr:cNvSpPr/>
        </xdr:nvSpPr>
        <xdr:spPr>
          <a:xfrm>
            <a:off x="10267950" y="76200"/>
            <a:ext cx="2066925" cy="590549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600" b="1"/>
              <a:t>Click</a:t>
            </a:r>
            <a:r>
              <a:rPr lang="en-US" sz="1600" b="1" baseline="0"/>
              <a:t> Here To Watch </a:t>
            </a:r>
          </a:p>
          <a:p>
            <a:pPr algn="r"/>
            <a:r>
              <a:rPr lang="en-US" sz="1600" b="1" baseline="0"/>
              <a:t>The Training Video</a:t>
            </a:r>
            <a:endParaRPr lang="en-US" sz="1600" b="1"/>
          </a:p>
        </xdr:txBody>
      </xdr:sp>
      <xdr:sp macro="" textlink="">
        <xdr:nvSpPr>
          <xdr:cNvPr id="32" name="Isosceles Triangle 31">
            <a:extLst>
              <a:ext uri="{FF2B5EF4-FFF2-40B4-BE49-F238E27FC236}">
                <a16:creationId xmlns:a16="http://schemas.microsoft.com/office/drawing/2014/main" id="{47666AAD-F6E6-4765-BDF6-8CAAB34A7D53}"/>
              </a:ext>
            </a:extLst>
          </xdr:cNvPr>
          <xdr:cNvSpPr/>
        </xdr:nvSpPr>
        <xdr:spPr>
          <a:xfrm rot="5400000">
            <a:off x="10364429" y="280526"/>
            <a:ext cx="238125" cy="208321"/>
          </a:xfrm>
          <a:prstGeom prst="triangle">
            <a:avLst/>
          </a:prstGeom>
          <a:solidFill>
            <a:schemeClr val="bg1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15"/>
  <sheetViews>
    <sheetView tabSelected="1" zoomScaleNormal="100" workbookViewId="0">
      <selection activeCell="P1" sqref="P1"/>
    </sheetView>
  </sheetViews>
  <sheetFormatPr defaultRowHeight="15" x14ac:dyDescent="0.25"/>
  <cols>
    <col min="1" max="1" width="10.42578125" bestFit="1" customWidth="1"/>
    <col min="2" max="2" width="10.5703125" style="7" bestFit="1" customWidth="1"/>
    <col min="3" max="3" width="14.28515625" style="7" bestFit="1" customWidth="1"/>
    <col min="4" max="4" width="12.140625" style="7" bestFit="1" customWidth="1"/>
    <col min="5" max="5" width="8.140625" customWidth="1"/>
    <col min="6" max="6" width="5.42578125" style="7" customWidth="1"/>
    <col min="7" max="7" width="11.7109375" bestFit="1" customWidth="1"/>
    <col min="8" max="8" width="22" customWidth="1"/>
    <col min="9" max="9" width="28.7109375" customWidth="1"/>
    <col min="10" max="10" width="18.28515625" customWidth="1"/>
    <col min="11" max="11" width="12.42578125" bestFit="1" customWidth="1"/>
    <col min="12" max="12" width="13.7109375" bestFit="1" customWidth="1"/>
    <col min="13" max="13" width="10.5703125" bestFit="1" customWidth="1"/>
    <col min="14" max="14" width="11.7109375" bestFit="1" customWidth="1"/>
    <col min="15" max="15" width="23" customWidth="1"/>
    <col min="17" max="17" width="16" bestFit="1" customWidth="1"/>
    <col min="18" max="18" width="10.7109375" style="7" customWidth="1"/>
    <col min="19" max="19" width="25.140625" bestFit="1" customWidth="1"/>
    <col min="20" max="20" width="11.28515625" style="7" customWidth="1"/>
    <col min="21" max="21" width="16.140625" customWidth="1"/>
    <col min="22" max="22" width="10.42578125" style="7" bestFit="1" customWidth="1"/>
  </cols>
  <sheetData>
    <row r="1" spans="1:22" ht="42.75" customHeight="1" x14ac:dyDescent="0.25">
      <c r="A1" s="44" t="s">
        <v>537</v>
      </c>
      <c r="B1" s="30">
        <v>4</v>
      </c>
      <c r="C1" s="43" t="s">
        <v>429</v>
      </c>
      <c r="D1" s="41" t="str">
        <f ca="1">IFERROR(INDIRECT("Data!R2C"&amp;MATCH(H2,CustHeader,0),FALSE),"")</f>
        <v/>
      </c>
      <c r="E1" s="52" t="s">
        <v>423</v>
      </c>
      <c r="F1" s="53"/>
      <c r="G1" s="53"/>
      <c r="H1" s="53"/>
      <c r="I1" s="53"/>
      <c r="J1" s="53"/>
      <c r="K1" s="53"/>
      <c r="L1" s="53"/>
      <c r="M1" s="53"/>
      <c r="N1" s="53"/>
      <c r="O1" s="53"/>
    </row>
    <row r="2" spans="1:22" ht="21" customHeight="1" x14ac:dyDescent="0.3">
      <c r="A2" s="45" t="s">
        <v>442</v>
      </c>
      <c r="B2" s="30">
        <f>MAX(A7:A28)</f>
        <v>6</v>
      </c>
      <c r="C2" s="43" t="s">
        <v>440</v>
      </c>
      <c r="D2" s="41" t="str">
        <f ca="1">IFERROR(INDIRECT("Filters!R11C"&amp;MATCH(D1,Q4:V4,0)+16,FALSE),"")</f>
        <v/>
      </c>
      <c r="E2" s="10"/>
      <c r="F2" s="10"/>
      <c r="G2" s="48" t="s">
        <v>427</v>
      </c>
      <c r="H2" s="40"/>
      <c r="I2" s="40"/>
      <c r="J2" s="49"/>
      <c r="K2" s="10"/>
      <c r="L2" s="10"/>
      <c r="M2" s="10"/>
      <c r="N2" s="24"/>
      <c r="O2" s="10"/>
      <c r="S2" s="7"/>
      <c r="U2" s="7"/>
    </row>
    <row r="3" spans="1:22" ht="30" customHeight="1" x14ac:dyDescent="0.35">
      <c r="A3" s="45" t="s">
        <v>441</v>
      </c>
      <c r="B3" s="30">
        <f>MAX(A7:A28)+1</f>
        <v>7</v>
      </c>
      <c r="C3" s="43" t="s">
        <v>444</v>
      </c>
      <c r="D3" s="41" t="str">
        <f ca="1">IFERROR(INDIRECT("R"&amp;MATCH(I2,INDIRECT("R5C"&amp;MATCH(D1,Q4:V4,0)+16&amp;":R10C"&amp;MATCH(D1,Q4:V4,0)+16,FALSE),0)+4&amp;"C"&amp;MATCH(D1,Q4:V4,0)+16+1,FALSE),"")</f>
        <v/>
      </c>
      <c r="E3" s="9"/>
      <c r="F3" s="9"/>
      <c r="G3" s="9"/>
      <c r="H3" s="9"/>
      <c r="I3" s="9"/>
      <c r="J3" s="9"/>
      <c r="K3" s="17"/>
      <c r="L3" s="17"/>
      <c r="M3" s="17"/>
      <c r="N3" s="17"/>
      <c r="O3" s="17"/>
      <c r="P3">
        <f>COLUMN()</f>
        <v>16</v>
      </c>
      <c r="Q3" s="51" t="s">
        <v>439</v>
      </c>
      <c r="R3" s="51"/>
      <c r="S3" s="51"/>
      <c r="T3" s="51"/>
      <c r="U3" s="51"/>
      <c r="V3" s="51"/>
    </row>
    <row r="4" spans="1:22" s="7" customFormat="1" ht="30" customHeight="1" x14ac:dyDescent="0.25">
      <c r="A4" s="45" t="s">
        <v>538</v>
      </c>
      <c r="B4" s="30">
        <v>6</v>
      </c>
      <c r="C4"/>
      <c r="D4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/>
      <c r="Q4" s="27" t="s">
        <v>392</v>
      </c>
      <c r="R4" s="28" t="s">
        <v>416</v>
      </c>
      <c r="S4" s="27" t="s">
        <v>393</v>
      </c>
      <c r="T4" s="28" t="s">
        <v>416</v>
      </c>
      <c r="U4" s="27" t="s">
        <v>394</v>
      </c>
      <c r="V4" s="28" t="s">
        <v>416</v>
      </c>
    </row>
    <row r="5" spans="1:22" ht="15.75" x14ac:dyDescent="0.25">
      <c r="B5"/>
      <c r="C5"/>
      <c r="D5"/>
      <c r="E5" s="8" t="s">
        <v>443</v>
      </c>
      <c r="F5" s="8" t="s">
        <v>443</v>
      </c>
      <c r="G5" s="50" t="s">
        <v>536</v>
      </c>
      <c r="H5" s="50"/>
      <c r="I5" s="50"/>
      <c r="J5" s="50"/>
      <c r="K5" s="50"/>
      <c r="L5" s="50"/>
      <c r="M5" s="50"/>
      <c r="N5" s="50"/>
      <c r="O5" s="8"/>
      <c r="Q5" s="3" t="s">
        <v>395</v>
      </c>
      <c r="R5" s="2" t="s">
        <v>410</v>
      </c>
      <c r="S5" s="3" t="s">
        <v>399</v>
      </c>
      <c r="T5" s="4" t="s">
        <v>430</v>
      </c>
      <c r="U5" s="3" t="s">
        <v>402</v>
      </c>
      <c r="V5" s="3" t="s">
        <v>430</v>
      </c>
    </row>
    <row r="6" spans="1:22" x14ac:dyDescent="0.25">
      <c r="A6" s="42" t="s">
        <v>432</v>
      </c>
      <c r="B6" s="42" t="s">
        <v>413</v>
      </c>
      <c r="C6" s="42" t="s">
        <v>414</v>
      </c>
      <c r="D6" s="42" t="s">
        <v>415</v>
      </c>
      <c r="E6" s="8" t="s">
        <v>443</v>
      </c>
      <c r="F6" s="8" t="s">
        <v>443</v>
      </c>
      <c r="G6" s="37" t="s">
        <v>428</v>
      </c>
      <c r="H6" s="37" t="s">
        <v>0</v>
      </c>
      <c r="I6" s="37" t="s">
        <v>3</v>
      </c>
      <c r="J6" s="37" t="s">
        <v>1</v>
      </c>
      <c r="K6" s="37" t="s">
        <v>2</v>
      </c>
      <c r="L6" s="37" t="s">
        <v>445</v>
      </c>
      <c r="M6" s="37" t="s">
        <v>387</v>
      </c>
      <c r="N6" s="37" t="s">
        <v>386</v>
      </c>
      <c r="O6" s="8"/>
      <c r="Q6" s="3" t="s">
        <v>396</v>
      </c>
      <c r="R6" s="2" t="s">
        <v>411</v>
      </c>
      <c r="S6" s="3" t="s">
        <v>400</v>
      </c>
      <c r="T6" s="4" t="s">
        <v>431</v>
      </c>
      <c r="U6" s="3" t="s">
        <v>403</v>
      </c>
      <c r="V6" s="3" t="s">
        <v>431</v>
      </c>
    </row>
    <row r="7" spans="1:22" x14ac:dyDescent="0.25">
      <c r="A7" s="11">
        <v>1</v>
      </c>
      <c r="B7" t="s">
        <v>0</v>
      </c>
      <c r="C7" t="s">
        <v>397</v>
      </c>
      <c r="D7" s="38" t="s">
        <v>539</v>
      </c>
      <c r="E7" s="8"/>
      <c r="F7" s="8"/>
      <c r="G7" s="35">
        <v>100005</v>
      </c>
      <c r="H7" s="15" t="s">
        <v>388</v>
      </c>
      <c r="I7" s="8" t="s">
        <v>26</v>
      </c>
      <c r="J7" s="8" t="s">
        <v>24</v>
      </c>
      <c r="K7" s="8" t="s">
        <v>25</v>
      </c>
      <c r="L7" s="18" t="s">
        <v>451</v>
      </c>
      <c r="M7" s="32">
        <v>3000</v>
      </c>
      <c r="N7" s="15">
        <v>44081</v>
      </c>
      <c r="O7" s="8"/>
      <c r="Q7" s="3" t="s">
        <v>397</v>
      </c>
      <c r="R7" s="2" t="s">
        <v>409</v>
      </c>
      <c r="S7" s="3" t="s">
        <v>401</v>
      </c>
      <c r="T7" s="4" t="s">
        <v>433</v>
      </c>
      <c r="U7" s="3" t="s">
        <v>404</v>
      </c>
      <c r="V7" s="3" t="s">
        <v>433</v>
      </c>
    </row>
    <row r="8" spans="1:22" x14ac:dyDescent="0.25">
      <c r="A8" s="11">
        <v>2</v>
      </c>
      <c r="B8" t="s">
        <v>387</v>
      </c>
      <c r="C8" t="s">
        <v>401</v>
      </c>
      <c r="D8" s="47">
        <v>1000</v>
      </c>
      <c r="E8" s="8"/>
      <c r="F8" s="8"/>
      <c r="G8" s="35">
        <v>100006</v>
      </c>
      <c r="H8" s="15" t="s">
        <v>27</v>
      </c>
      <c r="I8" s="8" t="s">
        <v>30</v>
      </c>
      <c r="J8" s="8" t="s">
        <v>28</v>
      </c>
      <c r="K8" s="8" t="s">
        <v>29</v>
      </c>
      <c r="L8" s="18" t="s">
        <v>452</v>
      </c>
      <c r="M8" s="32">
        <v>2000</v>
      </c>
      <c r="N8" s="15">
        <v>44082</v>
      </c>
      <c r="O8" s="8"/>
      <c r="Q8" s="3" t="s">
        <v>398</v>
      </c>
      <c r="R8" s="2" t="s">
        <v>412</v>
      </c>
      <c r="S8" s="3" t="s">
        <v>408</v>
      </c>
      <c r="T8" s="4" t="s">
        <v>434</v>
      </c>
      <c r="U8" s="3" t="s">
        <v>405</v>
      </c>
      <c r="V8" s="3" t="s">
        <v>434</v>
      </c>
    </row>
    <row r="9" spans="1:22" x14ac:dyDescent="0.25">
      <c r="A9" s="11">
        <v>3</v>
      </c>
      <c r="B9" t="s">
        <v>386</v>
      </c>
      <c r="C9" t="s">
        <v>404</v>
      </c>
      <c r="D9" s="46">
        <v>43845</v>
      </c>
      <c r="E9" s="8"/>
      <c r="F9" s="8"/>
      <c r="G9" s="35">
        <v>100014</v>
      </c>
      <c r="H9" s="15" t="s">
        <v>419</v>
      </c>
      <c r="I9" s="8" t="s">
        <v>60</v>
      </c>
      <c r="J9" s="8" t="s">
        <v>58</v>
      </c>
      <c r="K9" s="8" t="s">
        <v>59</v>
      </c>
      <c r="L9" s="18" t="s">
        <v>460</v>
      </c>
      <c r="M9" s="32">
        <v>2500</v>
      </c>
      <c r="N9" s="15">
        <v>44090</v>
      </c>
      <c r="O9" s="8"/>
      <c r="Q9" s="3"/>
      <c r="R9" s="5"/>
      <c r="S9" s="3" t="s">
        <v>395</v>
      </c>
      <c r="T9" s="4" t="s">
        <v>410</v>
      </c>
      <c r="U9" s="3" t="s">
        <v>407</v>
      </c>
      <c r="V9" s="3" t="s">
        <v>410</v>
      </c>
    </row>
    <row r="10" spans="1:22" x14ac:dyDescent="0.25">
      <c r="A10" s="11">
        <v>4</v>
      </c>
      <c r="B10" t="s">
        <v>387</v>
      </c>
      <c r="C10" t="s">
        <v>400</v>
      </c>
      <c r="D10" s="47">
        <v>4000</v>
      </c>
      <c r="E10" s="8"/>
      <c r="F10" s="8"/>
      <c r="G10" s="35">
        <v>100016</v>
      </c>
      <c r="H10" s="15" t="s">
        <v>65</v>
      </c>
      <c r="I10" s="8" t="s">
        <v>68</v>
      </c>
      <c r="J10" s="8" t="s">
        <v>66</v>
      </c>
      <c r="K10" s="8" t="s">
        <v>67</v>
      </c>
      <c r="L10" s="18" t="s">
        <v>462</v>
      </c>
      <c r="M10" s="32">
        <v>2000</v>
      </c>
      <c r="N10" s="15">
        <v>44092</v>
      </c>
      <c r="O10" s="8"/>
      <c r="Q10" s="3"/>
      <c r="R10" s="5"/>
      <c r="S10" s="3" t="s">
        <v>396</v>
      </c>
      <c r="T10" s="4" t="s">
        <v>411</v>
      </c>
      <c r="U10" s="3" t="s">
        <v>406</v>
      </c>
      <c r="V10" s="4" t="s">
        <v>411</v>
      </c>
    </row>
    <row r="11" spans="1:22" x14ac:dyDescent="0.25">
      <c r="A11" s="11">
        <v>5</v>
      </c>
      <c r="B11" t="s">
        <v>1</v>
      </c>
      <c r="C11" t="s">
        <v>397</v>
      </c>
      <c r="D11" s="38" t="s">
        <v>539</v>
      </c>
      <c r="E11" s="8"/>
      <c r="F11" s="8"/>
      <c r="G11" s="35">
        <v>100017</v>
      </c>
      <c r="H11" s="15" t="s">
        <v>65</v>
      </c>
      <c r="I11" s="8" t="s">
        <v>68</v>
      </c>
      <c r="J11" s="8" t="s">
        <v>66</v>
      </c>
      <c r="K11" s="8" t="s">
        <v>67</v>
      </c>
      <c r="L11" s="18" t="s">
        <v>463</v>
      </c>
      <c r="M11" s="32">
        <v>2000</v>
      </c>
      <c r="N11" s="15">
        <v>44093</v>
      </c>
      <c r="O11" s="8"/>
      <c r="P11" s="26" t="s">
        <v>435</v>
      </c>
      <c r="Q11" s="23" t="s">
        <v>436</v>
      </c>
      <c r="R11" s="23"/>
      <c r="S11" s="25" t="s">
        <v>437</v>
      </c>
      <c r="T11" s="23"/>
      <c r="U11" s="23" t="s">
        <v>438</v>
      </c>
      <c r="V11" s="23"/>
    </row>
    <row r="12" spans="1:22" x14ac:dyDescent="0.25">
      <c r="A12" s="11">
        <v>6</v>
      </c>
      <c r="B12" t="s">
        <v>3</v>
      </c>
      <c r="C12" t="s">
        <v>397</v>
      </c>
      <c r="D12" s="38" t="s">
        <v>546</v>
      </c>
      <c r="E12" s="8"/>
      <c r="F12" s="8"/>
      <c r="G12" s="35">
        <v>100023</v>
      </c>
      <c r="H12" s="15" t="s">
        <v>89</v>
      </c>
      <c r="I12" s="8" t="s">
        <v>92</v>
      </c>
      <c r="J12" s="8" t="s">
        <v>90</v>
      </c>
      <c r="K12" s="8" t="s">
        <v>91</v>
      </c>
      <c r="L12" s="18" t="s">
        <v>468</v>
      </c>
      <c r="M12" s="32">
        <v>3000</v>
      </c>
      <c r="N12" s="15">
        <v>44099</v>
      </c>
      <c r="O12" s="8"/>
      <c r="T12"/>
      <c r="V12"/>
    </row>
    <row r="13" spans="1:22" x14ac:dyDescent="0.25">
      <c r="A13" s="11"/>
      <c r="B13"/>
      <c r="C13"/>
      <c r="D13"/>
      <c r="E13" s="8"/>
      <c r="F13" s="8"/>
      <c r="G13" s="35">
        <v>100027</v>
      </c>
      <c r="H13" s="15" t="s">
        <v>105</v>
      </c>
      <c r="I13" s="8" t="s">
        <v>108</v>
      </c>
      <c r="J13" s="8" t="s">
        <v>106</v>
      </c>
      <c r="K13" s="8" t="s">
        <v>107</v>
      </c>
      <c r="L13" s="18" t="s">
        <v>450</v>
      </c>
      <c r="M13" s="32">
        <v>2500</v>
      </c>
      <c r="N13" s="15">
        <v>44103</v>
      </c>
      <c r="O13" s="8"/>
      <c r="T13"/>
      <c r="V13"/>
    </row>
    <row r="14" spans="1:22" x14ac:dyDescent="0.25">
      <c r="A14" s="11"/>
      <c r="B14" s="12"/>
      <c r="C14" s="12"/>
      <c r="D14" s="12"/>
      <c r="E14" s="8"/>
      <c r="F14" s="8"/>
      <c r="G14" s="35">
        <v>100029</v>
      </c>
      <c r="H14" s="15" t="s">
        <v>113</v>
      </c>
      <c r="I14" s="8" t="s">
        <v>116</v>
      </c>
      <c r="J14" s="8" t="s">
        <v>114</v>
      </c>
      <c r="K14" s="8" t="s">
        <v>115</v>
      </c>
      <c r="L14" s="18" t="s">
        <v>473</v>
      </c>
      <c r="M14" s="32">
        <v>2500</v>
      </c>
      <c r="N14" s="15">
        <v>44052</v>
      </c>
      <c r="O14" s="8"/>
      <c r="T14"/>
      <c r="V14"/>
    </row>
    <row r="15" spans="1:22" x14ac:dyDescent="0.25">
      <c r="A15" s="11"/>
      <c r="B15" s="12"/>
      <c r="C15" s="12"/>
      <c r="D15" s="12"/>
      <c r="E15" s="8"/>
      <c r="F15" s="8"/>
      <c r="G15" s="35">
        <v>100031</v>
      </c>
      <c r="H15" s="15" t="s">
        <v>121</v>
      </c>
      <c r="I15" s="8" t="s">
        <v>124</v>
      </c>
      <c r="J15" s="8" t="s">
        <v>122</v>
      </c>
      <c r="K15" s="8" t="s">
        <v>123</v>
      </c>
      <c r="L15" s="18" t="s">
        <v>475</v>
      </c>
      <c r="M15" s="32">
        <v>2500</v>
      </c>
      <c r="N15" s="15">
        <v>44054</v>
      </c>
      <c r="O15" s="8"/>
      <c r="T15"/>
      <c r="V15"/>
    </row>
    <row r="16" spans="1:22" x14ac:dyDescent="0.25">
      <c r="A16" s="11"/>
      <c r="B16" s="12"/>
      <c r="C16" s="12"/>
      <c r="D16" s="12"/>
      <c r="E16" s="8"/>
      <c r="F16" s="8"/>
      <c r="G16" s="35">
        <v>100034</v>
      </c>
      <c r="H16" s="15" t="s">
        <v>132</v>
      </c>
      <c r="I16" s="8" t="s">
        <v>135</v>
      </c>
      <c r="J16" s="8" t="s">
        <v>133</v>
      </c>
      <c r="K16" s="8" t="s">
        <v>134</v>
      </c>
      <c r="L16" s="18" t="s">
        <v>478</v>
      </c>
      <c r="M16" s="32">
        <v>1500</v>
      </c>
      <c r="N16" s="15">
        <v>44057</v>
      </c>
      <c r="O16" s="8"/>
      <c r="T16"/>
      <c r="V16"/>
    </row>
    <row r="17" spans="1:22" x14ac:dyDescent="0.25">
      <c r="A17" s="11"/>
      <c r="B17" s="12"/>
      <c r="C17" s="12"/>
      <c r="D17" s="12"/>
      <c r="E17" s="8"/>
      <c r="F17" s="8"/>
      <c r="G17" s="35">
        <v>100036</v>
      </c>
      <c r="H17" s="15" t="s">
        <v>140</v>
      </c>
      <c r="I17" s="8" t="s">
        <v>143</v>
      </c>
      <c r="J17" s="8" t="s">
        <v>141</v>
      </c>
      <c r="K17" s="8" t="s">
        <v>142</v>
      </c>
      <c r="L17" s="18" t="s">
        <v>480</v>
      </c>
      <c r="M17" s="32">
        <v>2000</v>
      </c>
      <c r="N17" s="15">
        <v>44059</v>
      </c>
      <c r="O17" s="8"/>
      <c r="T17"/>
      <c r="V17"/>
    </row>
    <row r="18" spans="1:22" x14ac:dyDescent="0.25">
      <c r="A18" s="11"/>
      <c r="B18" s="12"/>
      <c r="C18" s="12"/>
      <c r="D18" s="12"/>
      <c r="E18" s="8"/>
      <c r="F18" s="8"/>
      <c r="G18" s="35">
        <v>100038</v>
      </c>
      <c r="H18" s="15" t="s">
        <v>148</v>
      </c>
      <c r="I18" s="8" t="s">
        <v>151</v>
      </c>
      <c r="J18" s="8" t="s">
        <v>149</v>
      </c>
      <c r="K18" s="8" t="s">
        <v>150</v>
      </c>
      <c r="L18" s="18" t="s">
        <v>482</v>
      </c>
      <c r="M18" s="32">
        <v>4000</v>
      </c>
      <c r="N18" s="15">
        <v>44061</v>
      </c>
      <c r="O18" s="8"/>
      <c r="T18"/>
      <c r="V18"/>
    </row>
    <row r="19" spans="1:22" x14ac:dyDescent="0.25">
      <c r="A19" s="11"/>
      <c r="B19" s="12"/>
      <c r="C19" s="12"/>
      <c r="D19" s="12"/>
      <c r="E19" s="8"/>
      <c r="F19" s="8"/>
      <c r="G19" s="35">
        <v>100041</v>
      </c>
      <c r="H19" s="15" t="s">
        <v>160</v>
      </c>
      <c r="I19" s="8" t="s">
        <v>163</v>
      </c>
      <c r="J19" s="8" t="s">
        <v>161</v>
      </c>
      <c r="K19" s="8" t="s">
        <v>162</v>
      </c>
      <c r="L19" s="18" t="s">
        <v>484</v>
      </c>
      <c r="M19" s="32">
        <v>3500</v>
      </c>
      <c r="N19" s="15">
        <v>44064</v>
      </c>
      <c r="O19" s="8"/>
      <c r="T19"/>
      <c r="V19"/>
    </row>
    <row r="20" spans="1:22" x14ac:dyDescent="0.25">
      <c r="A20" s="11"/>
      <c r="B20" s="12"/>
      <c r="C20" s="12"/>
      <c r="D20" s="12"/>
      <c r="E20" s="8"/>
      <c r="F20" s="8"/>
      <c r="G20" s="35">
        <v>100044</v>
      </c>
      <c r="H20" s="15" t="s">
        <v>171</v>
      </c>
      <c r="I20" s="8" t="s">
        <v>174</v>
      </c>
      <c r="J20" s="8" t="s">
        <v>172</v>
      </c>
      <c r="K20" s="8" t="s">
        <v>173</v>
      </c>
      <c r="L20" s="18" t="s">
        <v>456</v>
      </c>
      <c r="M20" s="32">
        <v>2500</v>
      </c>
      <c r="N20" s="15">
        <v>44067</v>
      </c>
      <c r="O20" s="8"/>
      <c r="T20"/>
      <c r="V20"/>
    </row>
    <row r="21" spans="1:22" x14ac:dyDescent="0.25">
      <c r="A21" s="11"/>
      <c r="B21" s="12"/>
      <c r="C21" s="12"/>
      <c r="D21" s="12"/>
      <c r="E21" s="8"/>
      <c r="F21" s="8"/>
      <c r="G21" s="35">
        <v>100045</v>
      </c>
      <c r="H21" s="15" t="s">
        <v>175</v>
      </c>
      <c r="I21" s="8" t="s">
        <v>178</v>
      </c>
      <c r="J21" s="8" t="s">
        <v>176</v>
      </c>
      <c r="K21" s="8" t="s">
        <v>177</v>
      </c>
      <c r="L21" s="18" t="s">
        <v>487</v>
      </c>
      <c r="M21" s="32">
        <v>3000</v>
      </c>
      <c r="N21" s="15">
        <v>44068</v>
      </c>
      <c r="O21" s="8"/>
      <c r="T21"/>
      <c r="V21"/>
    </row>
    <row r="22" spans="1:22" x14ac:dyDescent="0.25">
      <c r="A22" s="11"/>
      <c r="B22" s="12"/>
      <c r="C22" s="12"/>
      <c r="D22" s="12"/>
      <c r="E22" s="8"/>
      <c r="F22" s="8"/>
      <c r="G22" s="35">
        <v>100046</v>
      </c>
      <c r="H22" s="15" t="s">
        <v>179</v>
      </c>
      <c r="I22" s="8" t="s">
        <v>182</v>
      </c>
      <c r="J22" s="8" t="s">
        <v>180</v>
      </c>
      <c r="K22" s="8" t="s">
        <v>181</v>
      </c>
      <c r="L22" s="18" t="s">
        <v>488</v>
      </c>
      <c r="M22" s="32">
        <v>3500</v>
      </c>
      <c r="N22" s="15">
        <v>44069</v>
      </c>
      <c r="O22" s="8"/>
      <c r="T22"/>
      <c r="V22"/>
    </row>
    <row r="23" spans="1:22" x14ac:dyDescent="0.25">
      <c r="A23" s="11"/>
      <c r="B23" s="12"/>
      <c r="C23" s="12"/>
      <c r="D23" s="12"/>
      <c r="E23" s="8"/>
      <c r="F23" s="8"/>
      <c r="G23" s="35">
        <v>100054</v>
      </c>
      <c r="H23" s="15" t="s">
        <v>211</v>
      </c>
      <c r="I23" s="8" t="s">
        <v>214</v>
      </c>
      <c r="J23" s="8" t="s">
        <v>212</v>
      </c>
      <c r="K23" s="8" t="s">
        <v>213</v>
      </c>
      <c r="L23" s="18" t="s">
        <v>496</v>
      </c>
      <c r="M23" s="32">
        <v>2000</v>
      </c>
      <c r="N23" s="15">
        <v>44077</v>
      </c>
      <c r="O23" s="8"/>
      <c r="T23"/>
      <c r="V23"/>
    </row>
    <row r="24" spans="1:22" x14ac:dyDescent="0.25">
      <c r="A24" s="11"/>
      <c r="B24" s="12"/>
      <c r="C24" s="12"/>
      <c r="D24" s="12"/>
      <c r="E24" s="8"/>
      <c r="F24" s="8"/>
      <c r="G24" s="35">
        <v>100059</v>
      </c>
      <c r="H24" s="15" t="s">
        <v>231</v>
      </c>
      <c r="I24" s="8" t="s">
        <v>234</v>
      </c>
      <c r="J24" s="8" t="s">
        <v>232</v>
      </c>
      <c r="K24" s="8" t="s">
        <v>233</v>
      </c>
      <c r="L24" s="18" t="s">
        <v>501</v>
      </c>
      <c r="M24" s="32">
        <v>3000</v>
      </c>
      <c r="N24" s="15">
        <v>44082</v>
      </c>
      <c r="O24" s="8"/>
      <c r="T24"/>
      <c r="V24"/>
    </row>
    <row r="25" spans="1:22" x14ac:dyDescent="0.25">
      <c r="A25" s="11"/>
      <c r="B25" s="12"/>
      <c r="C25" s="12"/>
      <c r="D25" s="12"/>
      <c r="E25" s="8"/>
      <c r="F25" s="8"/>
      <c r="G25" s="35">
        <v>100066</v>
      </c>
      <c r="H25" s="15" t="s">
        <v>258</v>
      </c>
      <c r="I25" s="8" t="s">
        <v>261</v>
      </c>
      <c r="J25" s="8" t="s">
        <v>259</v>
      </c>
      <c r="K25" s="8" t="s">
        <v>260</v>
      </c>
      <c r="L25" s="18" t="s">
        <v>508</v>
      </c>
      <c r="M25" s="32">
        <v>1500</v>
      </c>
      <c r="N25" s="15">
        <v>44089</v>
      </c>
      <c r="O25" s="8"/>
      <c r="T25"/>
      <c r="V25"/>
    </row>
    <row r="26" spans="1:22" x14ac:dyDescent="0.25">
      <c r="A26" s="11"/>
      <c r="B26" s="12"/>
      <c r="C26" s="12"/>
      <c r="D26" s="12"/>
      <c r="E26" s="8"/>
      <c r="F26" s="8"/>
      <c r="G26" s="35">
        <v>100081</v>
      </c>
      <c r="H26" s="15" t="s">
        <v>317</v>
      </c>
      <c r="I26" s="8" t="s">
        <v>320</v>
      </c>
      <c r="J26" s="8" t="s">
        <v>318</v>
      </c>
      <c r="K26" s="8" t="s">
        <v>319</v>
      </c>
      <c r="L26" s="18" t="s">
        <v>521</v>
      </c>
      <c r="M26" s="32">
        <v>3000</v>
      </c>
      <c r="N26" s="15">
        <v>44104</v>
      </c>
      <c r="O26" s="8"/>
      <c r="T26"/>
      <c r="V26"/>
    </row>
    <row r="27" spans="1:22" x14ac:dyDescent="0.25">
      <c r="A27" s="11"/>
      <c r="B27" s="12"/>
      <c r="C27" s="12"/>
      <c r="D27" s="12"/>
      <c r="E27" s="8"/>
      <c r="F27" s="8"/>
      <c r="G27" s="35">
        <v>100085</v>
      </c>
      <c r="H27" s="15" t="s">
        <v>333</v>
      </c>
      <c r="I27" s="8" t="s">
        <v>336</v>
      </c>
      <c r="J27" s="8" t="s">
        <v>334</v>
      </c>
      <c r="K27" s="8" t="s">
        <v>335</v>
      </c>
      <c r="L27" s="18" t="s">
        <v>524</v>
      </c>
      <c r="M27" s="32">
        <v>2500</v>
      </c>
      <c r="N27" s="15">
        <v>44108</v>
      </c>
      <c r="O27" s="8"/>
      <c r="T27"/>
      <c r="V27"/>
    </row>
    <row r="28" spans="1:22" x14ac:dyDescent="0.25">
      <c r="A28" s="11"/>
      <c r="B28" s="12"/>
      <c r="C28" s="12"/>
      <c r="D28" s="12"/>
      <c r="E28" s="8"/>
      <c r="F28" s="8"/>
      <c r="G28" s="35">
        <v>100086</v>
      </c>
      <c r="H28" s="15" t="s">
        <v>420</v>
      </c>
      <c r="I28" s="8" t="s">
        <v>339</v>
      </c>
      <c r="J28" s="8" t="s">
        <v>337</v>
      </c>
      <c r="K28" s="8" t="s">
        <v>338</v>
      </c>
      <c r="L28" s="18" t="s">
        <v>525</v>
      </c>
      <c r="M28" s="32">
        <v>1500</v>
      </c>
      <c r="N28" s="15">
        <v>44109</v>
      </c>
      <c r="O28" s="8"/>
      <c r="T28"/>
      <c r="V28"/>
    </row>
    <row r="29" spans="1:22" x14ac:dyDescent="0.25">
      <c r="A29" s="11"/>
      <c r="B29" s="12"/>
      <c r="C29" s="12"/>
      <c r="D29" s="12"/>
      <c r="E29" s="8"/>
      <c r="F29" s="8"/>
      <c r="G29" s="35">
        <v>100090</v>
      </c>
      <c r="H29" s="15" t="s">
        <v>422</v>
      </c>
      <c r="I29" s="8" t="s">
        <v>350</v>
      </c>
      <c r="J29" s="8" t="s">
        <v>348</v>
      </c>
      <c r="K29" s="8" t="s">
        <v>349</v>
      </c>
      <c r="L29" s="18" t="s">
        <v>528</v>
      </c>
      <c r="M29" s="32">
        <v>2500</v>
      </c>
      <c r="N29" s="15">
        <v>44113</v>
      </c>
      <c r="O29" s="8"/>
      <c r="T29"/>
      <c r="V29"/>
    </row>
    <row r="30" spans="1:22" x14ac:dyDescent="0.25">
      <c r="A30" s="11"/>
      <c r="B30" s="12"/>
      <c r="C30" s="12"/>
      <c r="D30" s="12"/>
      <c r="E30" s="8"/>
      <c r="F30" s="8"/>
      <c r="G30" s="35">
        <v>100094</v>
      </c>
      <c r="H30" s="15" t="s">
        <v>363</v>
      </c>
      <c r="I30" s="8" t="s">
        <v>366</v>
      </c>
      <c r="J30" s="8" t="s">
        <v>364</v>
      </c>
      <c r="K30" s="8" t="s">
        <v>365</v>
      </c>
      <c r="L30" s="18" t="s">
        <v>531</v>
      </c>
      <c r="M30" s="32">
        <v>1500</v>
      </c>
      <c r="N30" s="15">
        <v>44117</v>
      </c>
      <c r="O30" s="8"/>
      <c r="S30" t="s">
        <v>543</v>
      </c>
      <c r="T30"/>
      <c r="V30"/>
    </row>
    <row r="31" spans="1:22" x14ac:dyDescent="0.25">
      <c r="A31" s="11"/>
      <c r="B31" s="12"/>
      <c r="C31" s="12"/>
      <c r="D31" s="12"/>
      <c r="E31" s="8"/>
      <c r="F31" s="8"/>
      <c r="G31" s="35">
        <v>100095</v>
      </c>
      <c r="H31" s="15" t="s">
        <v>367</v>
      </c>
      <c r="I31" s="8" t="s">
        <v>370</v>
      </c>
      <c r="J31" s="8" t="s">
        <v>368</v>
      </c>
      <c r="K31" s="8" t="s">
        <v>369</v>
      </c>
      <c r="L31" s="18" t="s">
        <v>532</v>
      </c>
      <c r="M31" s="32">
        <v>3000</v>
      </c>
      <c r="N31" s="15">
        <v>44118</v>
      </c>
      <c r="O31" s="8"/>
      <c r="T31"/>
      <c r="V31"/>
    </row>
    <row r="32" spans="1:22" x14ac:dyDescent="0.25">
      <c r="A32" s="11"/>
      <c r="B32" s="12"/>
      <c r="C32" s="12"/>
      <c r="D32" s="12"/>
      <c r="E32" s="8"/>
      <c r="F32" s="8"/>
      <c r="G32" s="35">
        <v>100097</v>
      </c>
      <c r="H32" s="15" t="s">
        <v>391</v>
      </c>
      <c r="I32" s="8" t="s">
        <v>377</v>
      </c>
      <c r="J32" s="8" t="s">
        <v>375</v>
      </c>
      <c r="K32" s="8" t="s">
        <v>376</v>
      </c>
      <c r="L32" s="18" t="s">
        <v>534</v>
      </c>
      <c r="M32" s="32">
        <v>2500</v>
      </c>
      <c r="N32" s="15">
        <v>44120</v>
      </c>
      <c r="O32" s="8"/>
      <c r="U32" s="7"/>
    </row>
    <row r="33" spans="1:15" x14ac:dyDescent="0.25">
      <c r="A33" s="11"/>
      <c r="B33" s="12"/>
      <c r="C33" s="12"/>
      <c r="D33" s="12"/>
      <c r="E33" s="8"/>
      <c r="F33" s="8"/>
      <c r="G33" s="35"/>
      <c r="H33" s="15"/>
      <c r="I33" s="8"/>
      <c r="J33" s="8"/>
      <c r="K33" s="8"/>
      <c r="L33" s="18"/>
      <c r="M33" s="32"/>
      <c r="N33" s="15"/>
      <c r="O33" s="8"/>
    </row>
    <row r="34" spans="1:15" x14ac:dyDescent="0.25">
      <c r="A34" s="11"/>
      <c r="B34" s="12"/>
      <c r="C34" s="12"/>
      <c r="D34" s="12"/>
      <c r="E34" s="8"/>
      <c r="F34" s="8"/>
      <c r="G34" s="35"/>
      <c r="H34" s="15"/>
      <c r="I34" s="8"/>
      <c r="J34" s="8"/>
      <c r="K34" s="8"/>
      <c r="L34" s="18"/>
      <c r="M34" s="32"/>
      <c r="N34" s="15"/>
      <c r="O34" s="8"/>
    </row>
    <row r="35" spans="1:15" x14ac:dyDescent="0.25">
      <c r="A35" s="11"/>
      <c r="B35" s="12"/>
      <c r="C35" s="12"/>
      <c r="D35" s="12"/>
      <c r="E35" s="8"/>
      <c r="F35" s="8"/>
      <c r="G35" s="35"/>
      <c r="H35" s="15"/>
      <c r="I35" s="8"/>
      <c r="J35" s="8"/>
      <c r="K35" s="8"/>
      <c r="L35" s="18"/>
      <c r="M35" s="32"/>
      <c r="N35" s="15"/>
      <c r="O35" s="8"/>
    </row>
    <row r="36" spans="1:15" x14ac:dyDescent="0.25">
      <c r="A36" s="12"/>
      <c r="B36" s="12"/>
      <c r="C36" s="12"/>
      <c r="D36" s="12"/>
      <c r="E36" s="8"/>
      <c r="F36" s="8"/>
      <c r="G36" s="35"/>
      <c r="H36" s="15"/>
      <c r="I36" s="8"/>
      <c r="J36" s="8"/>
      <c r="K36" s="8"/>
      <c r="L36" s="18"/>
      <c r="M36" s="32"/>
      <c r="N36" s="15"/>
      <c r="O36" s="8"/>
    </row>
    <row r="37" spans="1:15" x14ac:dyDescent="0.25">
      <c r="A37" s="12"/>
      <c r="B37" s="12"/>
      <c r="C37" s="12"/>
      <c r="D37" s="12"/>
      <c r="E37" s="8"/>
      <c r="F37" s="8"/>
      <c r="G37" s="35"/>
      <c r="H37" s="15"/>
      <c r="I37" s="8"/>
      <c r="J37" s="8"/>
      <c r="K37" s="8"/>
      <c r="L37" s="18"/>
      <c r="M37" s="32"/>
      <c r="N37" s="15"/>
      <c r="O37" s="8"/>
    </row>
    <row r="38" spans="1:15" x14ac:dyDescent="0.25">
      <c r="A38" s="12"/>
      <c r="B38" s="12"/>
      <c r="C38" s="12"/>
      <c r="D38" s="12"/>
      <c r="E38" s="8"/>
      <c r="F38" s="8"/>
      <c r="G38" s="35"/>
      <c r="H38" s="15"/>
      <c r="I38" s="8"/>
      <c r="J38" s="8"/>
      <c r="K38" s="8"/>
      <c r="L38" s="18"/>
      <c r="M38" s="32"/>
      <c r="N38" s="15"/>
      <c r="O38" s="8"/>
    </row>
    <row r="39" spans="1:15" x14ac:dyDescent="0.25">
      <c r="E39" s="8"/>
      <c r="F39" s="8"/>
      <c r="G39" s="35"/>
      <c r="H39" s="15"/>
      <c r="I39" s="8"/>
      <c r="J39" s="8"/>
      <c r="K39" s="8"/>
      <c r="L39" s="18"/>
      <c r="M39" s="32"/>
      <c r="N39" s="15"/>
      <c r="O39" s="8"/>
    </row>
    <row r="40" spans="1:15" x14ac:dyDescent="0.25">
      <c r="E40" s="8"/>
      <c r="F40" s="8"/>
      <c r="G40" s="35"/>
      <c r="H40" s="15"/>
      <c r="I40" s="8"/>
      <c r="J40" s="8"/>
      <c r="K40" s="8"/>
      <c r="L40" s="18"/>
      <c r="M40" s="32"/>
      <c r="N40" s="15"/>
      <c r="O40" s="8"/>
    </row>
    <row r="41" spans="1:15" x14ac:dyDescent="0.25">
      <c r="E41" s="8"/>
      <c r="F41" s="8"/>
      <c r="G41" s="35"/>
      <c r="H41" s="15"/>
      <c r="I41" s="8"/>
      <c r="J41" s="8"/>
      <c r="K41" s="8"/>
      <c r="L41" s="18"/>
      <c r="M41" s="32"/>
      <c r="N41" s="15"/>
      <c r="O41" s="8"/>
    </row>
    <row r="42" spans="1:15" x14ac:dyDescent="0.25">
      <c r="E42" s="8"/>
      <c r="F42" s="8"/>
      <c r="G42" s="35"/>
      <c r="H42" s="15"/>
      <c r="I42" s="8"/>
      <c r="J42" s="8"/>
      <c r="K42" s="8"/>
      <c r="L42" s="18"/>
      <c r="M42" s="32"/>
      <c r="N42" s="15"/>
      <c r="O42" s="8"/>
    </row>
    <row r="43" spans="1:15" x14ac:dyDescent="0.25">
      <c r="E43" s="8"/>
      <c r="F43" s="8"/>
      <c r="G43" s="35"/>
      <c r="H43" s="15"/>
      <c r="I43" s="8"/>
      <c r="J43" s="8"/>
      <c r="K43" s="8"/>
      <c r="L43" s="18"/>
      <c r="M43" s="32"/>
      <c r="N43" s="15"/>
      <c r="O43" s="8"/>
    </row>
    <row r="44" spans="1:15" x14ac:dyDescent="0.25">
      <c r="E44" s="8"/>
      <c r="F44" s="8"/>
      <c r="G44" s="35"/>
      <c r="H44" s="15"/>
      <c r="I44" s="8"/>
      <c r="J44" s="8"/>
      <c r="K44" s="8"/>
      <c r="L44" s="18"/>
      <c r="M44" s="32"/>
      <c r="N44" s="15"/>
      <c r="O44" s="8"/>
    </row>
    <row r="45" spans="1:15" x14ac:dyDescent="0.25">
      <c r="E45" s="8"/>
      <c r="F45" s="8"/>
      <c r="G45" s="35"/>
      <c r="H45" s="15"/>
      <c r="I45" s="8"/>
      <c r="J45" s="8"/>
      <c r="K45" s="8"/>
      <c r="L45" s="18"/>
      <c r="M45" s="32"/>
      <c r="N45" s="15"/>
      <c r="O45" s="8"/>
    </row>
    <row r="46" spans="1:15" x14ac:dyDescent="0.25">
      <c r="E46" s="8"/>
      <c r="F46" s="8"/>
      <c r="G46" s="35"/>
      <c r="H46" s="15"/>
      <c r="I46" s="8"/>
      <c r="J46" s="8"/>
      <c r="K46" s="8"/>
      <c r="L46" s="18"/>
      <c r="M46" s="32"/>
      <c r="N46" s="15"/>
      <c r="O46" s="8"/>
    </row>
    <row r="47" spans="1:15" x14ac:dyDescent="0.25">
      <c r="E47" s="8"/>
      <c r="F47" s="8"/>
      <c r="G47" s="35"/>
      <c r="H47" s="15"/>
      <c r="I47" s="8"/>
      <c r="J47" s="8"/>
      <c r="K47" s="8"/>
      <c r="L47" s="18"/>
      <c r="M47" s="32"/>
      <c r="N47" s="15"/>
      <c r="O47" s="8"/>
    </row>
    <row r="48" spans="1:15" x14ac:dyDescent="0.25">
      <c r="E48" s="8"/>
      <c r="F48" s="8"/>
      <c r="G48" s="35"/>
      <c r="H48" s="15"/>
      <c r="I48" s="8"/>
      <c r="J48" s="8"/>
      <c r="K48" s="8"/>
      <c r="L48" s="18"/>
      <c r="M48" s="32"/>
      <c r="N48" s="15"/>
      <c r="O48" s="8"/>
    </row>
    <row r="49" spans="5:15" x14ac:dyDescent="0.25">
      <c r="E49" s="8"/>
      <c r="F49" s="8"/>
      <c r="G49" s="35"/>
      <c r="H49" s="15"/>
      <c r="I49" s="8"/>
      <c r="J49" s="8"/>
      <c r="K49" s="8"/>
      <c r="L49" s="18"/>
      <c r="M49" s="32"/>
      <c r="N49" s="15"/>
      <c r="O49" s="8"/>
    </row>
    <row r="50" spans="5:15" x14ac:dyDescent="0.25">
      <c r="E50" s="8"/>
      <c r="F50" s="8"/>
      <c r="G50" s="35"/>
      <c r="H50" s="15"/>
      <c r="I50" s="8"/>
      <c r="J50" s="8"/>
      <c r="K50" s="8"/>
      <c r="L50" s="18"/>
      <c r="M50" s="32"/>
      <c r="N50" s="15"/>
      <c r="O50" s="8"/>
    </row>
    <row r="51" spans="5:15" x14ac:dyDescent="0.25">
      <c r="E51" s="8"/>
      <c r="F51" s="8"/>
      <c r="G51" s="35"/>
      <c r="H51" s="15"/>
      <c r="I51" s="8"/>
      <c r="J51" s="8"/>
      <c r="K51" s="8"/>
      <c r="L51" s="18"/>
      <c r="M51" s="32"/>
      <c r="N51" s="15"/>
      <c r="O51" s="8"/>
    </row>
    <row r="52" spans="5:15" x14ac:dyDescent="0.25">
      <c r="E52" s="8"/>
      <c r="F52" s="8"/>
      <c r="G52" s="35"/>
      <c r="H52" s="15"/>
      <c r="I52" s="8"/>
      <c r="J52" s="8"/>
      <c r="K52" s="8"/>
      <c r="L52" s="18"/>
      <c r="M52" s="32"/>
      <c r="N52" s="15"/>
      <c r="O52" s="8"/>
    </row>
    <row r="53" spans="5:15" x14ac:dyDescent="0.25">
      <c r="E53" s="8"/>
      <c r="F53" s="8"/>
      <c r="G53" s="35"/>
      <c r="H53" s="15"/>
      <c r="I53" s="8"/>
      <c r="J53" s="8"/>
      <c r="K53" s="8"/>
      <c r="L53" s="18"/>
      <c r="M53" s="32"/>
      <c r="N53" s="15"/>
      <c r="O53" s="8"/>
    </row>
    <row r="54" spans="5:15" x14ac:dyDescent="0.25">
      <c r="E54" s="8"/>
      <c r="F54" s="8"/>
      <c r="G54" s="35"/>
      <c r="H54" s="15"/>
      <c r="I54" s="8"/>
      <c r="J54" s="8"/>
      <c r="K54" s="8"/>
      <c r="L54" s="18"/>
      <c r="M54" s="32"/>
      <c r="N54" s="15"/>
      <c r="O54" s="8"/>
    </row>
    <row r="55" spans="5:15" x14ac:dyDescent="0.25">
      <c r="E55" s="8"/>
      <c r="F55" s="8"/>
      <c r="G55" s="35"/>
      <c r="H55" s="15"/>
      <c r="I55" s="8"/>
      <c r="J55" s="8"/>
      <c r="K55" s="8"/>
      <c r="L55" s="18"/>
      <c r="M55" s="32"/>
      <c r="N55" s="15"/>
      <c r="O55" s="8"/>
    </row>
    <row r="56" spans="5:15" x14ac:dyDescent="0.25">
      <c r="E56" s="8"/>
      <c r="F56" s="8"/>
      <c r="G56" s="35"/>
      <c r="H56" s="15"/>
      <c r="I56" s="8"/>
      <c r="J56" s="8"/>
      <c r="K56" s="8"/>
      <c r="L56" s="18"/>
      <c r="M56" s="32"/>
      <c r="N56" s="15"/>
      <c r="O56" s="8"/>
    </row>
    <row r="57" spans="5:15" x14ac:dyDescent="0.25">
      <c r="E57" s="8"/>
      <c r="F57" s="8"/>
      <c r="G57" s="35"/>
      <c r="H57" s="15"/>
      <c r="I57" s="8"/>
      <c r="J57" s="8"/>
      <c r="K57" s="8"/>
      <c r="L57" s="18"/>
      <c r="M57" s="32"/>
      <c r="N57" s="15"/>
      <c r="O57" s="8"/>
    </row>
    <row r="58" spans="5:15" x14ac:dyDescent="0.25">
      <c r="E58" s="8"/>
      <c r="F58" s="8"/>
      <c r="G58" s="35"/>
      <c r="H58" s="15"/>
      <c r="I58" s="8"/>
      <c r="J58" s="8"/>
      <c r="K58" s="8"/>
      <c r="L58" s="18"/>
      <c r="M58" s="32"/>
      <c r="N58" s="15"/>
      <c r="O58" s="8"/>
    </row>
    <row r="59" spans="5:15" x14ac:dyDescent="0.25">
      <c r="E59" s="8"/>
      <c r="F59" s="8"/>
      <c r="G59" s="35"/>
      <c r="H59" s="15"/>
      <c r="I59" s="8"/>
      <c r="J59" s="8"/>
      <c r="K59" s="8"/>
      <c r="L59" s="18"/>
      <c r="M59" s="32"/>
      <c r="N59" s="15"/>
      <c r="O59" s="8"/>
    </row>
    <row r="60" spans="5:15" x14ac:dyDescent="0.25">
      <c r="E60" s="8"/>
      <c r="F60" s="8"/>
      <c r="G60" s="35"/>
      <c r="H60" s="15"/>
      <c r="I60" s="8"/>
      <c r="J60" s="8"/>
      <c r="K60" s="8"/>
      <c r="L60" s="18"/>
      <c r="M60" s="32"/>
      <c r="N60" s="15"/>
      <c r="O60" s="8"/>
    </row>
    <row r="61" spans="5:15" x14ac:dyDescent="0.25">
      <c r="E61" s="8"/>
      <c r="F61" s="8"/>
      <c r="G61" s="35"/>
      <c r="H61" s="15"/>
      <c r="I61" s="8"/>
      <c r="J61" s="8"/>
      <c r="K61" s="8"/>
      <c r="L61" s="18"/>
      <c r="M61" s="32"/>
      <c r="N61" s="15"/>
      <c r="O61" s="8"/>
    </row>
    <row r="62" spans="5:15" x14ac:dyDescent="0.25">
      <c r="E62" s="8"/>
      <c r="F62" s="8"/>
      <c r="G62" s="35"/>
      <c r="H62" s="15"/>
      <c r="I62" s="8"/>
      <c r="J62" s="8"/>
      <c r="K62" s="8"/>
      <c r="L62" s="18"/>
      <c r="M62" s="32"/>
      <c r="N62" s="15"/>
      <c r="O62" s="8"/>
    </row>
    <row r="63" spans="5:15" x14ac:dyDescent="0.25">
      <c r="E63" s="8"/>
      <c r="F63" s="8"/>
      <c r="G63" s="35"/>
      <c r="H63" s="34"/>
      <c r="I63" s="14"/>
      <c r="J63" s="14"/>
      <c r="K63" s="14"/>
      <c r="L63" s="19"/>
      <c r="M63" s="33"/>
      <c r="N63" s="20"/>
      <c r="O63" s="8"/>
    </row>
    <row r="64" spans="5:15" x14ac:dyDescent="0.25">
      <c r="E64" s="8"/>
      <c r="F64" s="8"/>
      <c r="G64" s="35"/>
      <c r="H64" s="15"/>
      <c r="I64" s="8"/>
      <c r="J64" s="8"/>
      <c r="K64" s="8"/>
      <c r="L64" s="18"/>
      <c r="M64" s="32"/>
      <c r="N64" s="15"/>
      <c r="O64" s="8"/>
    </row>
    <row r="65" spans="5:15" x14ac:dyDescent="0.25">
      <c r="E65" s="8"/>
      <c r="F65" s="8"/>
      <c r="G65" s="35"/>
      <c r="H65" s="15"/>
      <c r="I65" s="8"/>
      <c r="J65" s="8"/>
      <c r="K65" s="8"/>
      <c r="L65" s="18"/>
      <c r="M65" s="32"/>
      <c r="N65" s="15"/>
      <c r="O65" s="8"/>
    </row>
    <row r="66" spans="5:15" x14ac:dyDescent="0.25">
      <c r="E66" s="8"/>
      <c r="F66" s="8"/>
      <c r="G66" s="35"/>
      <c r="H66" s="15"/>
      <c r="I66" s="8"/>
      <c r="J66" s="8"/>
      <c r="K66" s="8"/>
      <c r="L66" s="18"/>
      <c r="M66" s="32"/>
      <c r="N66" s="15"/>
      <c r="O66" s="8"/>
    </row>
    <row r="67" spans="5:15" x14ac:dyDescent="0.25">
      <c r="E67" s="8"/>
      <c r="F67" s="8"/>
      <c r="G67" s="35"/>
      <c r="H67" s="15"/>
      <c r="I67" s="8"/>
      <c r="J67" s="8"/>
      <c r="K67" s="8"/>
      <c r="L67" s="18"/>
      <c r="M67" s="32"/>
      <c r="N67" s="15"/>
      <c r="O67" s="8"/>
    </row>
    <row r="68" spans="5:15" x14ac:dyDescent="0.25">
      <c r="E68" s="8"/>
      <c r="F68" s="8"/>
      <c r="G68" s="35"/>
      <c r="H68" s="15"/>
      <c r="I68" s="8"/>
      <c r="J68" s="8"/>
      <c r="K68" s="8"/>
      <c r="L68" s="18"/>
      <c r="M68" s="32"/>
      <c r="N68" s="15"/>
      <c r="O68" s="8"/>
    </row>
    <row r="69" spans="5:15" x14ac:dyDescent="0.25">
      <c r="E69" s="8"/>
      <c r="F69" s="8"/>
      <c r="G69" s="35"/>
      <c r="H69" s="15"/>
      <c r="I69" s="8"/>
      <c r="J69" s="8"/>
      <c r="K69" s="8"/>
      <c r="L69" s="18"/>
      <c r="M69" s="32"/>
      <c r="N69" s="15"/>
      <c r="O69" s="8"/>
    </row>
    <row r="70" spans="5:15" x14ac:dyDescent="0.25">
      <c r="E70" s="8"/>
      <c r="F70" s="8"/>
      <c r="G70" s="35"/>
      <c r="H70" s="15"/>
      <c r="I70" s="8"/>
      <c r="J70" s="8"/>
      <c r="K70" s="8"/>
      <c r="L70" s="18"/>
      <c r="M70" s="32"/>
      <c r="N70" s="15"/>
      <c r="O70" s="8"/>
    </row>
    <row r="71" spans="5:15" x14ac:dyDescent="0.25">
      <c r="E71" s="8"/>
      <c r="F71" s="8"/>
      <c r="G71" s="35"/>
      <c r="H71" s="15"/>
      <c r="I71" s="8"/>
      <c r="J71" s="8"/>
      <c r="K71" s="8"/>
      <c r="L71" s="18"/>
      <c r="M71" s="32"/>
      <c r="N71" s="15"/>
      <c r="O71" s="8"/>
    </row>
    <row r="72" spans="5:15" x14ac:dyDescent="0.25">
      <c r="E72" s="8"/>
      <c r="F72" s="8"/>
      <c r="G72" s="35"/>
      <c r="H72" s="15"/>
      <c r="I72" s="8"/>
      <c r="J72" s="8"/>
      <c r="K72" s="8"/>
      <c r="L72" s="18"/>
      <c r="M72" s="32"/>
      <c r="N72" s="15"/>
      <c r="O72" s="8"/>
    </row>
    <row r="73" spans="5:15" x14ac:dyDescent="0.25">
      <c r="E73" s="8"/>
      <c r="F73" s="8"/>
      <c r="G73" s="35"/>
      <c r="H73" s="15"/>
      <c r="I73" s="8"/>
      <c r="J73" s="8"/>
      <c r="K73" s="8"/>
      <c r="L73" s="18"/>
      <c r="M73" s="32"/>
      <c r="N73" s="15"/>
      <c r="O73" s="8"/>
    </row>
    <row r="74" spans="5:15" x14ac:dyDescent="0.25">
      <c r="E74" s="8"/>
      <c r="F74" s="8"/>
      <c r="G74" s="35"/>
      <c r="H74" s="15"/>
      <c r="I74" s="8"/>
      <c r="J74" s="8"/>
      <c r="K74" s="8"/>
      <c r="L74" s="18"/>
      <c r="M74" s="32"/>
      <c r="N74" s="15"/>
      <c r="O74" s="8"/>
    </row>
    <row r="75" spans="5:15" x14ac:dyDescent="0.25">
      <c r="E75" s="8"/>
      <c r="F75" s="8"/>
      <c r="G75" s="35"/>
      <c r="H75" s="15"/>
      <c r="I75" s="8"/>
      <c r="J75" s="8"/>
      <c r="K75" s="8"/>
      <c r="L75" s="18"/>
      <c r="M75" s="32"/>
      <c r="N75" s="15"/>
      <c r="O75" s="8"/>
    </row>
    <row r="76" spans="5:15" x14ac:dyDescent="0.25">
      <c r="E76" s="8"/>
      <c r="F76" s="8"/>
      <c r="G76" s="35"/>
      <c r="H76" s="15"/>
      <c r="I76" s="8"/>
      <c r="J76" s="8"/>
      <c r="K76" s="8"/>
      <c r="L76" s="18"/>
      <c r="M76" s="32"/>
      <c r="N76" s="15"/>
      <c r="O76" s="8"/>
    </row>
    <row r="77" spans="5:15" x14ac:dyDescent="0.25">
      <c r="E77" s="8"/>
      <c r="F77" s="8"/>
      <c r="G77" s="35"/>
      <c r="H77" s="15"/>
      <c r="I77" s="8"/>
      <c r="J77" s="8"/>
      <c r="K77" s="8"/>
      <c r="L77" s="18"/>
      <c r="M77" s="32"/>
      <c r="N77" s="15"/>
      <c r="O77" s="8"/>
    </row>
    <row r="78" spans="5:15" x14ac:dyDescent="0.25">
      <c r="E78" s="8"/>
      <c r="F78" s="8"/>
      <c r="G78" s="35"/>
      <c r="H78" s="15"/>
      <c r="I78" s="8"/>
      <c r="J78" s="8"/>
      <c r="K78" s="8"/>
      <c r="L78" s="18"/>
      <c r="M78" s="32"/>
      <c r="N78" s="15"/>
      <c r="O78" s="8"/>
    </row>
    <row r="79" spans="5:15" x14ac:dyDescent="0.25">
      <c r="E79" s="8"/>
      <c r="F79" s="8"/>
      <c r="G79" s="35"/>
      <c r="H79" s="15"/>
      <c r="I79" s="8"/>
      <c r="J79" s="8"/>
      <c r="K79" s="8"/>
      <c r="L79" s="18"/>
      <c r="M79" s="32"/>
      <c r="N79" s="15"/>
      <c r="O79" s="8"/>
    </row>
    <row r="80" spans="5:15" x14ac:dyDescent="0.25">
      <c r="E80" s="8"/>
      <c r="F80" s="8"/>
      <c r="G80" s="35"/>
      <c r="H80" s="15"/>
      <c r="I80" s="8"/>
      <c r="J80" s="8"/>
      <c r="K80" s="8"/>
      <c r="L80" s="18"/>
      <c r="M80" s="32"/>
      <c r="N80" s="15"/>
      <c r="O80" s="8"/>
    </row>
    <row r="81" spans="5:15" x14ac:dyDescent="0.25">
      <c r="E81" s="8"/>
      <c r="F81" s="8"/>
      <c r="G81" s="35"/>
      <c r="H81" s="15"/>
      <c r="I81" s="8"/>
      <c r="J81" s="8"/>
      <c r="K81" s="8"/>
      <c r="L81" s="18"/>
      <c r="M81" s="32"/>
      <c r="N81" s="15"/>
      <c r="O81" s="8"/>
    </row>
    <row r="82" spans="5:15" x14ac:dyDescent="0.25">
      <c r="E82" s="8"/>
      <c r="F82" s="8"/>
      <c r="G82" s="35"/>
      <c r="H82" s="15"/>
      <c r="I82" s="8"/>
      <c r="J82" s="8"/>
      <c r="K82" s="8"/>
      <c r="L82" s="18"/>
      <c r="M82" s="32"/>
      <c r="N82" s="15"/>
      <c r="O82" s="8"/>
    </row>
    <row r="83" spans="5:15" x14ac:dyDescent="0.25">
      <c r="E83" s="8"/>
      <c r="F83" s="8"/>
      <c r="G83" s="35"/>
      <c r="H83" s="15"/>
      <c r="I83" s="8"/>
      <c r="J83" s="8"/>
      <c r="K83" s="8"/>
      <c r="L83" s="18"/>
      <c r="M83" s="32"/>
      <c r="N83" s="15"/>
      <c r="O83" s="8"/>
    </row>
    <row r="84" spans="5:15" x14ac:dyDescent="0.25">
      <c r="E84" s="8"/>
      <c r="F84" s="8"/>
      <c r="G84" s="35"/>
      <c r="H84" s="15"/>
      <c r="I84" s="8"/>
      <c r="J84" s="8"/>
      <c r="K84" s="8"/>
      <c r="L84" s="18"/>
      <c r="M84" s="32"/>
      <c r="N84" s="15"/>
      <c r="O84" s="8"/>
    </row>
    <row r="85" spans="5:15" x14ac:dyDescent="0.25">
      <c r="E85" s="8"/>
      <c r="F85" s="8"/>
      <c r="G85" s="35"/>
      <c r="H85" s="15"/>
      <c r="I85" s="8"/>
      <c r="J85" s="8"/>
      <c r="K85" s="8"/>
      <c r="L85" s="18"/>
      <c r="M85" s="32"/>
      <c r="N85" s="15"/>
      <c r="O85" s="8"/>
    </row>
    <row r="86" spans="5:15" x14ac:dyDescent="0.25">
      <c r="E86" s="8"/>
      <c r="F86" s="8"/>
      <c r="G86" s="35"/>
      <c r="H86" s="15"/>
      <c r="I86" s="8"/>
      <c r="J86" s="8"/>
      <c r="K86" s="8"/>
      <c r="L86" s="18"/>
      <c r="M86" s="32"/>
      <c r="N86" s="15"/>
      <c r="O86" s="8"/>
    </row>
    <row r="87" spans="5:15" x14ac:dyDescent="0.25">
      <c r="E87" s="8"/>
      <c r="F87" s="8"/>
      <c r="G87" s="35"/>
      <c r="H87" s="15"/>
      <c r="I87" s="8"/>
      <c r="J87" s="8"/>
      <c r="K87" s="8"/>
      <c r="L87" s="18"/>
      <c r="M87" s="32"/>
      <c r="N87" s="15"/>
      <c r="O87" s="8"/>
    </row>
    <row r="88" spans="5:15" x14ac:dyDescent="0.25">
      <c r="E88" s="8"/>
      <c r="F88" s="8"/>
      <c r="G88" s="35"/>
      <c r="H88" s="15"/>
      <c r="I88" s="8"/>
      <c r="J88" s="8"/>
      <c r="K88" s="8"/>
      <c r="L88" s="18"/>
      <c r="M88" s="32"/>
      <c r="N88" s="15"/>
      <c r="O88" s="8"/>
    </row>
    <row r="89" spans="5:15" x14ac:dyDescent="0.25">
      <c r="E89" s="8"/>
      <c r="F89" s="8"/>
      <c r="G89" s="35"/>
      <c r="H89" s="15"/>
      <c r="I89" s="8"/>
      <c r="J89" s="8"/>
      <c r="K89" s="8"/>
      <c r="L89" s="18"/>
      <c r="M89" s="32"/>
      <c r="N89" s="15"/>
      <c r="O89" s="8"/>
    </row>
    <row r="90" spans="5:15" x14ac:dyDescent="0.25">
      <c r="E90" s="8"/>
      <c r="F90" s="8"/>
      <c r="G90" s="35"/>
      <c r="H90" s="15"/>
      <c r="I90" s="8"/>
      <c r="J90" s="8"/>
      <c r="K90" s="8"/>
      <c r="L90" s="18"/>
      <c r="M90" s="32"/>
      <c r="N90" s="15"/>
      <c r="O90" s="8"/>
    </row>
    <row r="91" spans="5:15" x14ac:dyDescent="0.25">
      <c r="E91" s="8"/>
      <c r="F91" s="8"/>
      <c r="G91" s="35"/>
      <c r="H91" s="15"/>
      <c r="I91" s="8"/>
      <c r="J91" s="8"/>
      <c r="K91" s="8"/>
      <c r="L91" s="18"/>
      <c r="M91" s="32"/>
      <c r="N91" s="15"/>
      <c r="O91" s="8"/>
    </row>
    <row r="92" spans="5:15" x14ac:dyDescent="0.25">
      <c r="E92" s="8"/>
      <c r="F92" s="8"/>
      <c r="G92" s="35"/>
      <c r="H92" s="15"/>
      <c r="I92" s="8"/>
      <c r="J92" s="8"/>
      <c r="K92" s="8"/>
      <c r="L92" s="18"/>
      <c r="M92" s="32"/>
      <c r="N92" s="15"/>
      <c r="O92" s="8"/>
    </row>
    <row r="93" spans="5:15" x14ac:dyDescent="0.25">
      <c r="E93" s="8"/>
      <c r="F93" s="8"/>
      <c r="G93" s="35"/>
      <c r="H93" s="15"/>
      <c r="I93" s="8"/>
      <c r="J93" s="8"/>
      <c r="K93" s="8"/>
      <c r="L93" s="18"/>
      <c r="M93" s="32"/>
      <c r="N93" s="15"/>
      <c r="O93" s="8"/>
    </row>
    <row r="94" spans="5:15" x14ac:dyDescent="0.25">
      <c r="E94" s="8"/>
      <c r="F94" s="8"/>
      <c r="G94" s="35"/>
      <c r="H94" s="15"/>
      <c r="I94" s="8"/>
      <c r="J94" s="8"/>
      <c r="K94" s="8"/>
      <c r="L94" s="18"/>
      <c r="M94" s="32"/>
      <c r="N94" s="15"/>
      <c r="O94" s="8"/>
    </row>
    <row r="95" spans="5:15" x14ac:dyDescent="0.25">
      <c r="E95" s="8"/>
      <c r="F95" s="8"/>
      <c r="G95" s="35"/>
      <c r="H95" s="15"/>
      <c r="I95" s="8"/>
      <c r="J95" s="8"/>
      <c r="K95" s="8"/>
      <c r="L95" s="18"/>
      <c r="M95" s="32"/>
      <c r="N95" s="15"/>
      <c r="O95" s="8"/>
    </row>
    <row r="96" spans="5:15" x14ac:dyDescent="0.25">
      <c r="E96" s="8"/>
      <c r="F96" s="8"/>
      <c r="G96" s="35"/>
      <c r="H96" s="15"/>
      <c r="I96" s="8"/>
      <c r="J96" s="8"/>
      <c r="K96" s="8"/>
      <c r="L96" s="18"/>
      <c r="M96" s="32"/>
      <c r="N96" s="15"/>
      <c r="O96" s="8"/>
    </row>
    <row r="97" spans="5:15" x14ac:dyDescent="0.25">
      <c r="E97" s="8"/>
      <c r="F97" s="8"/>
      <c r="G97" s="35"/>
      <c r="H97" s="15"/>
      <c r="I97" s="8"/>
      <c r="J97" s="8"/>
      <c r="K97" s="8"/>
      <c r="L97" s="18"/>
      <c r="M97" s="32"/>
      <c r="N97" s="15"/>
      <c r="O97" s="8"/>
    </row>
    <row r="98" spans="5:15" x14ac:dyDescent="0.25">
      <c r="E98" s="8"/>
      <c r="F98" s="8"/>
      <c r="G98" s="35"/>
      <c r="H98" s="15"/>
      <c r="I98" s="8"/>
      <c r="J98" s="8"/>
      <c r="K98" s="8"/>
      <c r="L98" s="18"/>
      <c r="M98" s="32"/>
      <c r="N98" s="15"/>
      <c r="O98" s="8"/>
    </row>
    <row r="99" spans="5:15" x14ac:dyDescent="0.25">
      <c r="E99" s="8"/>
      <c r="F99" s="8"/>
      <c r="G99" s="35"/>
      <c r="H99" s="15"/>
      <c r="I99" s="8"/>
      <c r="J99" s="8"/>
      <c r="K99" s="8"/>
      <c r="L99" s="18"/>
      <c r="M99" s="32"/>
      <c r="N99" s="15"/>
      <c r="O99" s="8"/>
    </row>
    <row r="100" spans="5:15" x14ac:dyDescent="0.25">
      <c r="E100" s="8"/>
      <c r="F100" s="8"/>
      <c r="G100" s="35"/>
      <c r="H100" s="15"/>
      <c r="I100" s="8"/>
      <c r="J100" s="8"/>
      <c r="K100" s="8"/>
      <c r="L100" s="18"/>
      <c r="M100" s="32"/>
      <c r="N100" s="15"/>
      <c r="O100" s="8"/>
    </row>
    <row r="101" spans="5:15" x14ac:dyDescent="0.25">
      <c r="E101" s="8"/>
      <c r="F101" s="8"/>
      <c r="G101" s="35"/>
      <c r="H101" s="15"/>
      <c r="I101" s="8"/>
      <c r="J101" s="8"/>
      <c r="K101" s="8"/>
      <c r="L101" s="18"/>
      <c r="M101" s="32"/>
      <c r="N101" s="15"/>
      <c r="O101" s="8"/>
    </row>
    <row r="102" spans="5:15" x14ac:dyDescent="0.25">
      <c r="E102" s="8"/>
      <c r="F102" s="8"/>
      <c r="G102" s="35"/>
      <c r="H102" s="15"/>
      <c r="I102" s="8"/>
      <c r="J102" s="8"/>
      <c r="K102" s="8"/>
      <c r="L102" s="18"/>
      <c r="M102" s="32"/>
      <c r="N102" s="15"/>
      <c r="O102" s="8"/>
    </row>
    <row r="103" spans="5:15" x14ac:dyDescent="0.25">
      <c r="E103" s="8"/>
      <c r="F103" s="8"/>
      <c r="G103" s="35"/>
      <c r="H103" s="15"/>
      <c r="I103" s="8"/>
      <c r="J103" s="8"/>
      <c r="K103" s="8"/>
      <c r="L103" s="18"/>
      <c r="M103" s="32"/>
      <c r="N103" s="15"/>
      <c r="O103" s="8"/>
    </row>
    <row r="104" spans="5:15" x14ac:dyDescent="0.25">
      <c r="E104" s="8"/>
      <c r="F104" s="8"/>
      <c r="G104" s="35"/>
      <c r="H104" s="15"/>
      <c r="I104" s="8"/>
      <c r="J104" s="8"/>
      <c r="K104" s="8"/>
      <c r="L104" s="18"/>
      <c r="M104" s="32"/>
      <c r="N104" s="15"/>
      <c r="O104" s="8"/>
    </row>
    <row r="105" spans="5:15" x14ac:dyDescent="0.25">
      <c r="E105" s="8"/>
      <c r="F105" s="8"/>
      <c r="G105" s="35"/>
      <c r="H105" s="15"/>
      <c r="I105" s="8"/>
      <c r="J105" s="8"/>
      <c r="K105" s="8"/>
      <c r="L105" s="18"/>
      <c r="M105" s="32"/>
      <c r="N105" s="15"/>
      <c r="O105" s="8"/>
    </row>
    <row r="106" spans="5:15" x14ac:dyDescent="0.25">
      <c r="E106" s="8"/>
      <c r="F106" s="8"/>
      <c r="G106" s="35"/>
      <c r="H106" s="15"/>
      <c r="I106" s="8"/>
      <c r="J106" s="8"/>
      <c r="K106" s="8"/>
      <c r="L106" s="18"/>
      <c r="M106" s="32"/>
      <c r="N106" s="15"/>
      <c r="O106" s="8"/>
    </row>
    <row r="107" spans="5:15" x14ac:dyDescent="0.25">
      <c r="E107" s="8"/>
      <c r="F107" s="8"/>
      <c r="G107" s="36"/>
      <c r="O107" s="8"/>
    </row>
    <row r="108" spans="5:15" x14ac:dyDescent="0.25">
      <c r="E108" s="8"/>
      <c r="F108" s="8"/>
      <c r="G108" s="35"/>
      <c r="H108" s="8"/>
      <c r="I108" s="8"/>
      <c r="J108" s="8"/>
      <c r="K108" s="8"/>
      <c r="L108" s="8"/>
      <c r="M108" s="8"/>
      <c r="N108" s="8"/>
      <c r="O108" s="8"/>
    </row>
    <row r="109" spans="5:15" x14ac:dyDescent="0.25">
      <c r="G109" s="36"/>
    </row>
    <row r="110" spans="5:15" x14ac:dyDescent="0.25">
      <c r="G110" s="36"/>
    </row>
    <row r="111" spans="5:15" x14ac:dyDescent="0.25">
      <c r="G111" s="36"/>
    </row>
    <row r="112" spans="5:15" x14ac:dyDescent="0.25">
      <c r="G112" s="36"/>
    </row>
    <row r="113" spans="7:7" x14ac:dyDescent="0.25">
      <c r="G113" s="36"/>
    </row>
    <row r="114" spans="7:7" x14ac:dyDescent="0.25">
      <c r="G114" s="36"/>
    </row>
    <row r="115" spans="7:7" x14ac:dyDescent="0.25">
      <c r="G115" s="36"/>
    </row>
  </sheetData>
  <mergeCells count="3">
    <mergeCell ref="G5:N5"/>
    <mergeCell ref="Q3:V3"/>
    <mergeCell ref="E1:O1"/>
  </mergeCells>
  <conditionalFormatting sqref="G7:N107">
    <cfRule type="expression" dxfId="2" priority="1">
      <formula>AND($G7&lt;&gt;"",MOD(ROW(),2)=1 )</formula>
    </cfRule>
    <cfRule type="expression" dxfId="1" priority="2">
      <formula>AND($G7&lt;&gt;"",MOD(ROW(),2)=0 )</formula>
    </cfRule>
  </conditionalFormatting>
  <dataValidations count="2">
    <dataValidation type="list" allowBlank="1" showInputMessage="1" showErrorMessage="1" sqref="H2" xr:uid="{00000000-0002-0000-0000-000000000000}">
      <formula1>CustHeader</formula1>
    </dataValidation>
    <dataValidation type="list" allowBlank="1" showInputMessage="1" showErrorMessage="1" sqref="I2" xr:uid="{00000000-0002-0000-0000-000001000000}">
      <formula1>Text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103"/>
  <sheetViews>
    <sheetView workbookViewId="0">
      <selection activeCell="D2" sqref="D2"/>
    </sheetView>
  </sheetViews>
  <sheetFormatPr defaultRowHeight="15" x14ac:dyDescent="0.25"/>
  <cols>
    <col min="1" max="1" width="7.7109375" bestFit="1" customWidth="1"/>
    <col min="2" max="2" width="24" customWidth="1"/>
    <col min="3" max="3" width="11.5703125" bestFit="1" customWidth="1"/>
    <col min="4" max="5" width="12.42578125" bestFit="1" customWidth="1"/>
    <col min="6" max="6" width="13.7109375" bestFit="1" customWidth="1"/>
    <col min="7" max="7" width="10.5703125" bestFit="1" customWidth="1"/>
    <col min="8" max="8" width="10.7109375" bestFit="1" customWidth="1"/>
    <col min="12" max="14" width="5.5703125" customWidth="1"/>
    <col min="15" max="15" width="15.140625" bestFit="1" customWidth="1"/>
    <col min="16" max="16" width="10.5703125" bestFit="1" customWidth="1"/>
    <col min="17" max="25" width="5.5703125" customWidth="1"/>
    <col min="26" max="26" width="3.140625" customWidth="1"/>
    <col min="27" max="27" width="9.140625" style="7"/>
    <col min="28" max="28" width="28" style="7" bestFit="1" customWidth="1"/>
    <col min="29" max="34" width="9.140625" style="7"/>
  </cols>
  <sheetData>
    <row r="1" spans="1:34" ht="15.75" x14ac:dyDescent="0.25">
      <c r="A1" s="54" t="s">
        <v>424</v>
      </c>
      <c r="B1" s="54"/>
      <c r="C1" s="54"/>
      <c r="D1" s="54"/>
      <c r="E1" s="54"/>
      <c r="F1" s="54"/>
      <c r="G1" s="54"/>
      <c r="H1" s="54"/>
      <c r="N1" s="7">
        <f>COLUMN()</f>
        <v>14</v>
      </c>
      <c r="O1" s="55" t="s">
        <v>425</v>
      </c>
      <c r="P1" s="55"/>
      <c r="Q1" s="55"/>
      <c r="R1" s="55"/>
      <c r="S1" s="55"/>
      <c r="T1" s="55"/>
      <c r="U1" s="55"/>
      <c r="V1" s="55"/>
      <c r="AA1" s="55" t="s">
        <v>426</v>
      </c>
      <c r="AB1" s="55"/>
      <c r="AC1" s="55"/>
      <c r="AD1" s="55"/>
      <c r="AE1" s="55"/>
      <c r="AF1" s="55"/>
      <c r="AG1" s="55"/>
      <c r="AH1" s="55"/>
    </row>
    <row r="2" spans="1:34" x14ac:dyDescent="0.25">
      <c r="A2" s="21" t="s">
        <v>392</v>
      </c>
      <c r="B2" s="21" t="s">
        <v>392</v>
      </c>
      <c r="C2" s="21" t="s">
        <v>541</v>
      </c>
      <c r="D2" s="21" t="s">
        <v>392</v>
      </c>
      <c r="E2" s="21" t="s">
        <v>392</v>
      </c>
      <c r="F2" s="21" t="s">
        <v>392</v>
      </c>
      <c r="G2" s="21" t="s">
        <v>393</v>
      </c>
      <c r="H2" s="21" t="s">
        <v>394</v>
      </c>
      <c r="M2" s="7"/>
      <c r="N2" s="7"/>
      <c r="O2" s="29" t="s">
        <v>0</v>
      </c>
      <c r="P2" s="29" t="s">
        <v>387</v>
      </c>
      <c r="Q2" s="29" t="s">
        <v>386</v>
      </c>
      <c r="R2" s="29" t="s">
        <v>387</v>
      </c>
      <c r="S2" s="29" t="s">
        <v>1</v>
      </c>
      <c r="T2" s="29" t="s">
        <v>3</v>
      </c>
      <c r="U2" s="29"/>
      <c r="V2" s="29"/>
      <c r="AA2" s="22" t="s">
        <v>428</v>
      </c>
      <c r="AB2" s="22" t="s">
        <v>0</v>
      </c>
      <c r="AC2" s="22" t="s">
        <v>3</v>
      </c>
      <c r="AD2" s="22" t="s">
        <v>1</v>
      </c>
      <c r="AE2" s="22" t="s">
        <v>2</v>
      </c>
      <c r="AF2" s="22" t="s">
        <v>445</v>
      </c>
      <c r="AG2" s="22" t="s">
        <v>387</v>
      </c>
      <c r="AH2" s="22" t="s">
        <v>386</v>
      </c>
    </row>
    <row r="3" spans="1:34" x14ac:dyDescent="0.25">
      <c r="A3" s="22" t="s">
        <v>428</v>
      </c>
      <c r="B3" s="22" t="s">
        <v>0</v>
      </c>
      <c r="C3" s="22" t="s">
        <v>3</v>
      </c>
      <c r="D3" s="22" t="s">
        <v>1</v>
      </c>
      <c r="E3" s="22" t="s">
        <v>2</v>
      </c>
      <c r="F3" s="22" t="s">
        <v>445</v>
      </c>
      <c r="G3" s="22" t="s">
        <v>387</v>
      </c>
      <c r="H3" s="22" t="s">
        <v>386</v>
      </c>
      <c r="O3" s="31" t="s">
        <v>540</v>
      </c>
      <c r="P3" s="31" t="s">
        <v>542</v>
      </c>
      <c r="Q3" s="31" t="s">
        <v>544</v>
      </c>
      <c r="R3" s="31" t="s">
        <v>545</v>
      </c>
      <c r="S3" s="31" t="s">
        <v>540</v>
      </c>
      <c r="T3" s="31" t="s">
        <v>547</v>
      </c>
      <c r="U3" s="29"/>
      <c r="V3" s="29"/>
      <c r="AA3" s="11">
        <v>100005</v>
      </c>
      <c r="AB3" s="7" t="s">
        <v>388</v>
      </c>
      <c r="AC3" s="7" t="s">
        <v>26</v>
      </c>
      <c r="AD3" s="7" t="s">
        <v>24</v>
      </c>
      <c r="AE3" s="7" t="s">
        <v>25</v>
      </c>
      <c r="AF3" s="38" t="s">
        <v>451</v>
      </c>
      <c r="AG3" s="1">
        <v>3000</v>
      </c>
      <c r="AH3" s="13">
        <v>44081</v>
      </c>
    </row>
    <row r="4" spans="1:34" x14ac:dyDescent="0.25">
      <c r="A4" s="11">
        <v>100000</v>
      </c>
      <c r="B4" s="7" t="s">
        <v>4</v>
      </c>
      <c r="C4" s="7" t="s">
        <v>7</v>
      </c>
      <c r="D4" s="7" t="s">
        <v>5</v>
      </c>
      <c r="E4" s="7" t="s">
        <v>6</v>
      </c>
      <c r="F4" s="38" t="s">
        <v>446</v>
      </c>
      <c r="G4" s="1">
        <v>1000</v>
      </c>
      <c r="H4" s="13">
        <v>43831</v>
      </c>
      <c r="AA4" s="11">
        <v>100006</v>
      </c>
      <c r="AB4" s="7" t="s">
        <v>27</v>
      </c>
      <c r="AC4" s="7" t="s">
        <v>30</v>
      </c>
      <c r="AD4" s="7" t="s">
        <v>28</v>
      </c>
      <c r="AE4" s="7" t="s">
        <v>29</v>
      </c>
      <c r="AF4" s="38" t="s">
        <v>452</v>
      </c>
      <c r="AG4" s="1">
        <v>2000</v>
      </c>
      <c r="AH4" s="13">
        <v>44082</v>
      </c>
    </row>
    <row r="5" spans="1:34" x14ac:dyDescent="0.25">
      <c r="A5" s="11">
        <v>100001</v>
      </c>
      <c r="B5" s="7" t="s">
        <v>8</v>
      </c>
      <c r="C5" s="7" t="s">
        <v>11</v>
      </c>
      <c r="D5" s="7" t="s">
        <v>9</v>
      </c>
      <c r="E5" s="7" t="s">
        <v>10</v>
      </c>
      <c r="F5" s="38" t="s">
        <v>447</v>
      </c>
      <c r="G5" s="1">
        <v>3500</v>
      </c>
      <c r="H5" s="13">
        <v>43832</v>
      </c>
      <c r="AA5" s="11">
        <v>100014</v>
      </c>
      <c r="AB5" s="7" t="s">
        <v>419</v>
      </c>
      <c r="AC5" s="7" t="s">
        <v>60</v>
      </c>
      <c r="AD5" s="7" t="s">
        <v>58</v>
      </c>
      <c r="AE5" s="7" t="s">
        <v>59</v>
      </c>
      <c r="AF5" s="38" t="s">
        <v>460</v>
      </c>
      <c r="AG5" s="1">
        <v>2500</v>
      </c>
      <c r="AH5" s="13">
        <v>44090</v>
      </c>
    </row>
    <row r="6" spans="1:34" x14ac:dyDescent="0.25">
      <c r="A6" s="11">
        <v>100002</v>
      </c>
      <c r="B6" s="7" t="s">
        <v>12</v>
      </c>
      <c r="C6" s="7" t="s">
        <v>15</v>
      </c>
      <c r="D6" s="7" t="s">
        <v>13</v>
      </c>
      <c r="E6" s="7" t="s">
        <v>14</v>
      </c>
      <c r="F6" s="38" t="s">
        <v>448</v>
      </c>
      <c r="G6" s="1">
        <v>500</v>
      </c>
      <c r="H6" s="13">
        <v>43833</v>
      </c>
      <c r="AA6" s="11">
        <v>100016</v>
      </c>
      <c r="AB6" s="7" t="s">
        <v>65</v>
      </c>
      <c r="AC6" s="7" t="s">
        <v>68</v>
      </c>
      <c r="AD6" s="7" t="s">
        <v>66</v>
      </c>
      <c r="AE6" s="7" t="s">
        <v>67</v>
      </c>
      <c r="AF6" s="38" t="s">
        <v>462</v>
      </c>
      <c r="AG6" s="1">
        <v>2000</v>
      </c>
      <c r="AH6" s="13">
        <v>44092</v>
      </c>
    </row>
    <row r="7" spans="1:34" x14ac:dyDescent="0.25">
      <c r="A7" s="11">
        <v>100003</v>
      </c>
      <c r="B7" s="7" t="s">
        <v>16</v>
      </c>
      <c r="C7" s="7" t="s">
        <v>19</v>
      </c>
      <c r="D7" s="7" t="s">
        <v>17</v>
      </c>
      <c r="E7" s="7" t="s">
        <v>18</v>
      </c>
      <c r="F7" s="38" t="s">
        <v>449</v>
      </c>
      <c r="G7" s="1">
        <v>3500</v>
      </c>
      <c r="H7" s="13">
        <v>43834</v>
      </c>
      <c r="AA7" s="11">
        <v>100017</v>
      </c>
      <c r="AB7" s="7" t="s">
        <v>65</v>
      </c>
      <c r="AC7" s="7" t="s">
        <v>68</v>
      </c>
      <c r="AD7" s="7" t="s">
        <v>66</v>
      </c>
      <c r="AE7" s="7" t="s">
        <v>67</v>
      </c>
      <c r="AF7" s="38" t="s">
        <v>463</v>
      </c>
      <c r="AG7" s="1">
        <v>2000</v>
      </c>
      <c r="AH7" s="13">
        <v>44093</v>
      </c>
    </row>
    <row r="8" spans="1:34" x14ac:dyDescent="0.25">
      <c r="A8" s="11">
        <v>100004</v>
      </c>
      <c r="B8" s="7" t="s">
        <v>20</v>
      </c>
      <c r="C8" s="7" t="s">
        <v>23</v>
      </c>
      <c r="D8" s="7" t="s">
        <v>21</v>
      </c>
      <c r="E8" s="7" t="s">
        <v>22</v>
      </c>
      <c r="F8" s="38" t="s">
        <v>450</v>
      </c>
      <c r="G8" s="1">
        <v>4500</v>
      </c>
      <c r="H8" s="13">
        <v>44080</v>
      </c>
      <c r="AA8" s="11">
        <v>100023</v>
      </c>
      <c r="AB8" s="7" t="s">
        <v>89</v>
      </c>
      <c r="AC8" s="7" t="s">
        <v>92</v>
      </c>
      <c r="AD8" s="7" t="s">
        <v>90</v>
      </c>
      <c r="AE8" s="7" t="s">
        <v>91</v>
      </c>
      <c r="AF8" s="38" t="s">
        <v>468</v>
      </c>
      <c r="AG8" s="1">
        <v>3000</v>
      </c>
      <c r="AH8" s="13">
        <v>44099</v>
      </c>
    </row>
    <row r="9" spans="1:34" x14ac:dyDescent="0.25">
      <c r="A9" s="11">
        <v>100005</v>
      </c>
      <c r="B9" s="7" t="s">
        <v>388</v>
      </c>
      <c r="C9" s="7" t="s">
        <v>26</v>
      </c>
      <c r="D9" s="7" t="s">
        <v>24</v>
      </c>
      <c r="E9" s="7" t="s">
        <v>25</v>
      </c>
      <c r="F9" s="38" t="s">
        <v>451</v>
      </c>
      <c r="G9" s="1">
        <v>3000</v>
      </c>
      <c r="H9" s="13">
        <v>44081</v>
      </c>
      <c r="AA9" s="11">
        <v>100027</v>
      </c>
      <c r="AB9" s="7" t="s">
        <v>105</v>
      </c>
      <c r="AC9" s="7" t="s">
        <v>108</v>
      </c>
      <c r="AD9" s="7" t="s">
        <v>106</v>
      </c>
      <c r="AE9" s="7" t="s">
        <v>107</v>
      </c>
      <c r="AF9" s="38" t="s">
        <v>450</v>
      </c>
      <c r="AG9" s="1">
        <v>2500</v>
      </c>
      <c r="AH9" s="13">
        <v>44103</v>
      </c>
    </row>
    <row r="10" spans="1:34" x14ac:dyDescent="0.25">
      <c r="A10" s="11">
        <v>100006</v>
      </c>
      <c r="B10" s="7" t="s">
        <v>27</v>
      </c>
      <c r="C10" s="7" t="s">
        <v>30</v>
      </c>
      <c r="D10" s="7" t="s">
        <v>28</v>
      </c>
      <c r="E10" s="7" t="s">
        <v>29</v>
      </c>
      <c r="F10" s="38" t="s">
        <v>452</v>
      </c>
      <c r="G10" s="1">
        <v>2000</v>
      </c>
      <c r="H10" s="13">
        <v>44082</v>
      </c>
      <c r="AA10" s="11">
        <v>100029</v>
      </c>
      <c r="AB10" s="7" t="s">
        <v>113</v>
      </c>
      <c r="AC10" s="7" t="s">
        <v>116</v>
      </c>
      <c r="AD10" s="7" t="s">
        <v>114</v>
      </c>
      <c r="AE10" s="7" t="s">
        <v>115</v>
      </c>
      <c r="AF10" s="38" t="s">
        <v>473</v>
      </c>
      <c r="AG10" s="1">
        <v>2500</v>
      </c>
      <c r="AH10" s="13">
        <v>44052</v>
      </c>
    </row>
    <row r="11" spans="1:34" x14ac:dyDescent="0.25">
      <c r="A11" s="11">
        <v>100007</v>
      </c>
      <c r="B11" s="7" t="s">
        <v>31</v>
      </c>
      <c r="C11" s="7" t="s">
        <v>34</v>
      </c>
      <c r="D11" s="7" t="s">
        <v>32</v>
      </c>
      <c r="E11" s="7" t="s">
        <v>33</v>
      </c>
      <c r="F11" s="38" t="s">
        <v>453</v>
      </c>
      <c r="G11" s="1">
        <v>3000</v>
      </c>
      <c r="H11" s="13">
        <v>44083</v>
      </c>
      <c r="AA11" s="11">
        <v>100031</v>
      </c>
      <c r="AB11" s="7" t="s">
        <v>121</v>
      </c>
      <c r="AC11" s="7" t="s">
        <v>124</v>
      </c>
      <c r="AD11" s="7" t="s">
        <v>122</v>
      </c>
      <c r="AE11" s="7" t="s">
        <v>123</v>
      </c>
      <c r="AF11" s="38" t="s">
        <v>475</v>
      </c>
      <c r="AG11" s="1">
        <v>2500</v>
      </c>
      <c r="AH11" s="13">
        <v>44054</v>
      </c>
    </row>
    <row r="12" spans="1:34" x14ac:dyDescent="0.25">
      <c r="A12" s="11">
        <v>100008</v>
      </c>
      <c r="B12" s="7" t="s">
        <v>35</v>
      </c>
      <c r="C12" s="7" t="s">
        <v>38</v>
      </c>
      <c r="D12" s="7" t="s">
        <v>36</v>
      </c>
      <c r="E12" s="7" t="s">
        <v>37</v>
      </c>
      <c r="F12" s="38" t="s">
        <v>454</v>
      </c>
      <c r="G12" s="1">
        <v>2000</v>
      </c>
      <c r="H12" s="13">
        <v>44084</v>
      </c>
      <c r="AA12" s="11">
        <v>100034</v>
      </c>
      <c r="AB12" s="7" t="s">
        <v>132</v>
      </c>
      <c r="AC12" s="7" t="s">
        <v>135</v>
      </c>
      <c r="AD12" s="7" t="s">
        <v>133</v>
      </c>
      <c r="AE12" s="7" t="s">
        <v>134</v>
      </c>
      <c r="AF12" s="38" t="s">
        <v>478</v>
      </c>
      <c r="AG12" s="1">
        <v>1500</v>
      </c>
      <c r="AH12" s="13">
        <v>44057</v>
      </c>
    </row>
    <row r="13" spans="1:34" x14ac:dyDescent="0.25">
      <c r="A13" s="11">
        <v>100009</v>
      </c>
      <c r="B13" s="7" t="s">
        <v>39</v>
      </c>
      <c r="C13" s="7" t="s">
        <v>42</v>
      </c>
      <c r="D13" s="7" t="s">
        <v>40</v>
      </c>
      <c r="E13" s="7" t="s">
        <v>41</v>
      </c>
      <c r="F13" s="38" t="s">
        <v>455</v>
      </c>
      <c r="G13" s="1">
        <v>4000</v>
      </c>
      <c r="H13" s="13">
        <v>44085</v>
      </c>
      <c r="AA13" s="11">
        <v>100036</v>
      </c>
      <c r="AB13" s="7" t="s">
        <v>140</v>
      </c>
      <c r="AC13" s="7" t="s">
        <v>143</v>
      </c>
      <c r="AD13" s="7" t="s">
        <v>141</v>
      </c>
      <c r="AE13" s="7" t="s">
        <v>142</v>
      </c>
      <c r="AF13" s="38" t="s">
        <v>480</v>
      </c>
      <c r="AG13" s="1">
        <v>2000</v>
      </c>
      <c r="AH13" s="13">
        <v>44059</v>
      </c>
    </row>
    <row r="14" spans="1:34" x14ac:dyDescent="0.25">
      <c r="A14" s="11">
        <v>100010</v>
      </c>
      <c r="B14" s="7" t="s">
        <v>417</v>
      </c>
      <c r="C14" s="7" t="s">
        <v>45</v>
      </c>
      <c r="D14" s="7" t="s">
        <v>43</v>
      </c>
      <c r="E14" s="7" t="s">
        <v>44</v>
      </c>
      <c r="F14" s="38" t="s">
        <v>456</v>
      </c>
      <c r="G14" s="1">
        <v>3000</v>
      </c>
      <c r="H14" s="13">
        <v>44086</v>
      </c>
      <c r="AA14" s="11">
        <v>100038</v>
      </c>
      <c r="AB14" s="7" t="s">
        <v>148</v>
      </c>
      <c r="AC14" s="7" t="s">
        <v>151</v>
      </c>
      <c r="AD14" s="7" t="s">
        <v>149</v>
      </c>
      <c r="AE14" s="7" t="s">
        <v>150</v>
      </c>
      <c r="AF14" s="38" t="s">
        <v>482</v>
      </c>
      <c r="AG14" s="1">
        <v>4000</v>
      </c>
      <c r="AH14" s="13">
        <v>44061</v>
      </c>
    </row>
    <row r="15" spans="1:34" x14ac:dyDescent="0.25">
      <c r="A15" s="11">
        <v>100011</v>
      </c>
      <c r="B15" s="7" t="s">
        <v>46</v>
      </c>
      <c r="C15" s="7" t="s">
        <v>49</v>
      </c>
      <c r="D15" s="7" t="s">
        <v>47</v>
      </c>
      <c r="E15" s="7" t="s">
        <v>48</v>
      </c>
      <c r="F15" s="38" t="s">
        <v>457</v>
      </c>
      <c r="G15" s="1">
        <v>1500</v>
      </c>
      <c r="H15" s="13">
        <v>44087</v>
      </c>
      <c r="AA15" s="11">
        <v>100041</v>
      </c>
      <c r="AB15" s="7" t="s">
        <v>160</v>
      </c>
      <c r="AC15" s="7" t="s">
        <v>163</v>
      </c>
      <c r="AD15" s="7" t="s">
        <v>161</v>
      </c>
      <c r="AE15" s="7" t="s">
        <v>162</v>
      </c>
      <c r="AF15" s="38" t="s">
        <v>484</v>
      </c>
      <c r="AG15" s="1">
        <v>3500</v>
      </c>
      <c r="AH15" s="13">
        <v>44064</v>
      </c>
    </row>
    <row r="16" spans="1:34" x14ac:dyDescent="0.25">
      <c r="A16" s="11">
        <v>100012</v>
      </c>
      <c r="B16" s="7" t="s">
        <v>50</v>
      </c>
      <c r="C16" s="7" t="s">
        <v>53</v>
      </c>
      <c r="D16" s="7" t="s">
        <v>51</v>
      </c>
      <c r="E16" s="7" t="s">
        <v>52</v>
      </c>
      <c r="F16" s="38" t="s">
        <v>458</v>
      </c>
      <c r="G16" s="1">
        <v>0</v>
      </c>
      <c r="H16" s="13">
        <v>44088</v>
      </c>
      <c r="AA16" s="11">
        <v>100044</v>
      </c>
      <c r="AB16" s="7" t="s">
        <v>171</v>
      </c>
      <c r="AC16" s="7" t="s">
        <v>174</v>
      </c>
      <c r="AD16" s="7" t="s">
        <v>172</v>
      </c>
      <c r="AE16" s="7" t="s">
        <v>173</v>
      </c>
      <c r="AF16" s="38" t="s">
        <v>456</v>
      </c>
      <c r="AG16" s="1">
        <v>2500</v>
      </c>
      <c r="AH16" s="13">
        <v>44067</v>
      </c>
    </row>
    <row r="17" spans="1:34" x14ac:dyDescent="0.25">
      <c r="A17" s="11">
        <v>100013</v>
      </c>
      <c r="B17" s="7" t="s">
        <v>54</v>
      </c>
      <c r="C17" s="7" t="s">
        <v>57</v>
      </c>
      <c r="D17" s="7" t="s">
        <v>55</v>
      </c>
      <c r="E17" s="7" t="s">
        <v>56</v>
      </c>
      <c r="F17" s="38" t="s">
        <v>459</v>
      </c>
      <c r="G17" s="1">
        <v>4500</v>
      </c>
      <c r="H17" s="13">
        <v>44089</v>
      </c>
      <c r="AA17" s="11">
        <v>100045</v>
      </c>
      <c r="AB17" s="7" t="s">
        <v>175</v>
      </c>
      <c r="AC17" s="7" t="s">
        <v>178</v>
      </c>
      <c r="AD17" s="7" t="s">
        <v>176</v>
      </c>
      <c r="AE17" s="7" t="s">
        <v>177</v>
      </c>
      <c r="AF17" s="38" t="s">
        <v>487</v>
      </c>
      <c r="AG17" s="1">
        <v>3000</v>
      </c>
      <c r="AH17" s="13">
        <v>44068</v>
      </c>
    </row>
    <row r="18" spans="1:34" x14ac:dyDescent="0.25">
      <c r="A18" s="11">
        <v>100014</v>
      </c>
      <c r="B18" s="7" t="s">
        <v>419</v>
      </c>
      <c r="C18" s="7" t="s">
        <v>60</v>
      </c>
      <c r="D18" s="7" t="s">
        <v>58</v>
      </c>
      <c r="E18" s="7" t="s">
        <v>59</v>
      </c>
      <c r="F18" s="38" t="s">
        <v>460</v>
      </c>
      <c r="G18" s="1">
        <v>2500</v>
      </c>
      <c r="H18" s="13">
        <v>44090</v>
      </c>
      <c r="AA18" s="11">
        <v>100046</v>
      </c>
      <c r="AB18" s="7" t="s">
        <v>179</v>
      </c>
      <c r="AC18" s="7" t="s">
        <v>182</v>
      </c>
      <c r="AD18" s="7" t="s">
        <v>180</v>
      </c>
      <c r="AE18" s="7" t="s">
        <v>181</v>
      </c>
      <c r="AF18" s="38" t="s">
        <v>488</v>
      </c>
      <c r="AG18" s="1">
        <v>3500</v>
      </c>
      <c r="AH18" s="13">
        <v>44069</v>
      </c>
    </row>
    <row r="19" spans="1:34" x14ac:dyDescent="0.25">
      <c r="A19" s="11">
        <v>100015</v>
      </c>
      <c r="B19" s="7" t="s">
        <v>418</v>
      </c>
      <c r="C19" s="7" t="s">
        <v>63</v>
      </c>
      <c r="D19" s="7" t="s">
        <v>61</v>
      </c>
      <c r="E19" s="7" t="s">
        <v>62</v>
      </c>
      <c r="F19" s="38" t="s">
        <v>461</v>
      </c>
      <c r="G19" s="1">
        <v>500</v>
      </c>
      <c r="H19" s="13">
        <v>44091</v>
      </c>
      <c r="AA19" s="11">
        <v>100054</v>
      </c>
      <c r="AB19" s="7" t="s">
        <v>211</v>
      </c>
      <c r="AC19" s="7" t="s">
        <v>214</v>
      </c>
      <c r="AD19" s="7" t="s">
        <v>212</v>
      </c>
      <c r="AE19" s="7" t="s">
        <v>213</v>
      </c>
      <c r="AF19" s="38" t="s">
        <v>496</v>
      </c>
      <c r="AG19" s="1">
        <v>2000</v>
      </c>
      <c r="AH19" s="13">
        <v>44077</v>
      </c>
    </row>
    <row r="20" spans="1:34" x14ac:dyDescent="0.25">
      <c r="A20" s="11">
        <v>100016</v>
      </c>
      <c r="B20" s="7" t="s">
        <v>65</v>
      </c>
      <c r="C20" s="7" t="s">
        <v>68</v>
      </c>
      <c r="D20" s="7" t="s">
        <v>66</v>
      </c>
      <c r="E20" s="7" t="s">
        <v>67</v>
      </c>
      <c r="F20" s="38" t="s">
        <v>462</v>
      </c>
      <c r="G20" s="1">
        <v>2000</v>
      </c>
      <c r="H20" s="13">
        <v>44092</v>
      </c>
      <c r="AA20" s="11">
        <v>100059</v>
      </c>
      <c r="AB20" s="7" t="s">
        <v>231</v>
      </c>
      <c r="AC20" s="7" t="s">
        <v>234</v>
      </c>
      <c r="AD20" s="7" t="s">
        <v>232</v>
      </c>
      <c r="AE20" s="7" t="s">
        <v>233</v>
      </c>
      <c r="AF20" s="38" t="s">
        <v>501</v>
      </c>
      <c r="AG20" s="1">
        <v>3000</v>
      </c>
      <c r="AH20" s="13">
        <v>44082</v>
      </c>
    </row>
    <row r="21" spans="1:34" x14ac:dyDescent="0.25">
      <c r="A21" s="11">
        <v>100017</v>
      </c>
      <c r="B21" s="7" t="s">
        <v>65</v>
      </c>
      <c r="C21" s="7" t="s">
        <v>68</v>
      </c>
      <c r="D21" s="7" t="s">
        <v>66</v>
      </c>
      <c r="E21" s="7" t="s">
        <v>67</v>
      </c>
      <c r="F21" s="38" t="s">
        <v>463</v>
      </c>
      <c r="G21" s="1">
        <v>2000</v>
      </c>
      <c r="H21" s="13">
        <v>44093</v>
      </c>
      <c r="AA21" s="11">
        <v>100066</v>
      </c>
      <c r="AB21" s="7" t="s">
        <v>258</v>
      </c>
      <c r="AC21" s="7" t="s">
        <v>261</v>
      </c>
      <c r="AD21" s="7" t="s">
        <v>259</v>
      </c>
      <c r="AE21" s="7" t="s">
        <v>260</v>
      </c>
      <c r="AF21" s="38" t="s">
        <v>508</v>
      </c>
      <c r="AG21" s="1">
        <v>1500</v>
      </c>
      <c r="AH21" s="13">
        <v>44089</v>
      </c>
    </row>
    <row r="22" spans="1:34" x14ac:dyDescent="0.25">
      <c r="A22" s="11">
        <v>100018</v>
      </c>
      <c r="B22" s="7" t="s">
        <v>69</v>
      </c>
      <c r="C22" s="7" t="s">
        <v>72</v>
      </c>
      <c r="D22" s="7" t="s">
        <v>70</v>
      </c>
      <c r="E22" s="7" t="s">
        <v>71</v>
      </c>
      <c r="F22" s="38" t="s">
        <v>463</v>
      </c>
      <c r="G22" s="1">
        <v>2500</v>
      </c>
      <c r="H22" s="13">
        <v>44094</v>
      </c>
      <c r="AA22" s="11">
        <v>100081</v>
      </c>
      <c r="AB22" s="7" t="s">
        <v>317</v>
      </c>
      <c r="AC22" s="7" t="s">
        <v>320</v>
      </c>
      <c r="AD22" s="7" t="s">
        <v>318</v>
      </c>
      <c r="AE22" s="7" t="s">
        <v>319</v>
      </c>
      <c r="AF22" s="38" t="s">
        <v>521</v>
      </c>
      <c r="AG22" s="1">
        <v>3000</v>
      </c>
      <c r="AH22" s="13">
        <v>44104</v>
      </c>
    </row>
    <row r="23" spans="1:34" x14ac:dyDescent="0.25">
      <c r="A23" s="11">
        <v>100019</v>
      </c>
      <c r="B23" s="7" t="s">
        <v>73</v>
      </c>
      <c r="C23" s="7" t="s">
        <v>76</v>
      </c>
      <c r="D23" s="7" t="s">
        <v>74</v>
      </c>
      <c r="E23" s="7" t="s">
        <v>75</v>
      </c>
      <c r="F23" s="38" t="s">
        <v>464</v>
      </c>
      <c r="G23" s="1">
        <v>1000</v>
      </c>
      <c r="H23" s="13">
        <v>44095</v>
      </c>
      <c r="AA23" s="11">
        <v>100085</v>
      </c>
      <c r="AB23" s="7" t="s">
        <v>333</v>
      </c>
      <c r="AC23" s="7" t="s">
        <v>336</v>
      </c>
      <c r="AD23" s="7" t="s">
        <v>334</v>
      </c>
      <c r="AE23" s="7" t="s">
        <v>335</v>
      </c>
      <c r="AF23" s="38" t="s">
        <v>524</v>
      </c>
      <c r="AG23" s="1">
        <v>2500</v>
      </c>
      <c r="AH23" s="13">
        <v>44108</v>
      </c>
    </row>
    <row r="24" spans="1:34" x14ac:dyDescent="0.25">
      <c r="A24" s="11">
        <v>100020</v>
      </c>
      <c r="B24" s="7" t="s">
        <v>77</v>
      </c>
      <c r="C24" s="7" t="s">
        <v>80</v>
      </c>
      <c r="D24" s="7" t="s">
        <v>78</v>
      </c>
      <c r="E24" s="7" t="s">
        <v>79</v>
      </c>
      <c r="F24" s="38" t="s">
        <v>465</v>
      </c>
      <c r="G24" s="1">
        <v>500</v>
      </c>
      <c r="H24" s="13">
        <v>44096</v>
      </c>
      <c r="AA24" s="11">
        <v>100086</v>
      </c>
      <c r="AB24" s="7" t="s">
        <v>420</v>
      </c>
      <c r="AC24" s="7" t="s">
        <v>339</v>
      </c>
      <c r="AD24" s="7" t="s">
        <v>337</v>
      </c>
      <c r="AE24" s="7" t="s">
        <v>338</v>
      </c>
      <c r="AF24" s="38" t="s">
        <v>525</v>
      </c>
      <c r="AG24" s="1">
        <v>1500</v>
      </c>
      <c r="AH24" s="13">
        <v>44109</v>
      </c>
    </row>
    <row r="25" spans="1:34" x14ac:dyDescent="0.25">
      <c r="A25" s="11">
        <v>100021</v>
      </c>
      <c r="B25" s="7" t="s">
        <v>81</v>
      </c>
      <c r="C25" s="7" t="s">
        <v>84</v>
      </c>
      <c r="D25" s="7" t="s">
        <v>82</v>
      </c>
      <c r="E25" s="7" t="s">
        <v>83</v>
      </c>
      <c r="F25" s="38" t="s">
        <v>466</v>
      </c>
      <c r="G25" s="1">
        <v>2500</v>
      </c>
      <c r="H25" s="13">
        <v>44097</v>
      </c>
      <c r="AA25" s="11">
        <v>100090</v>
      </c>
      <c r="AB25" s="7" t="s">
        <v>422</v>
      </c>
      <c r="AC25" s="7" t="s">
        <v>350</v>
      </c>
      <c r="AD25" s="7" t="s">
        <v>348</v>
      </c>
      <c r="AE25" s="7" t="s">
        <v>349</v>
      </c>
      <c r="AF25" s="38" t="s">
        <v>528</v>
      </c>
      <c r="AG25" s="1">
        <v>2500</v>
      </c>
      <c r="AH25" s="13">
        <v>44113</v>
      </c>
    </row>
    <row r="26" spans="1:34" x14ac:dyDescent="0.25">
      <c r="A26" s="11">
        <v>100022</v>
      </c>
      <c r="B26" s="7" t="s">
        <v>85</v>
      </c>
      <c r="C26" s="7" t="s">
        <v>88</v>
      </c>
      <c r="D26" s="7" t="s">
        <v>86</v>
      </c>
      <c r="E26" s="7" t="s">
        <v>87</v>
      </c>
      <c r="F26" s="38" t="s">
        <v>467</v>
      </c>
      <c r="G26" s="1">
        <v>3000</v>
      </c>
      <c r="H26" s="13">
        <v>44098</v>
      </c>
      <c r="AA26" s="11">
        <v>100094</v>
      </c>
      <c r="AB26" s="7" t="s">
        <v>363</v>
      </c>
      <c r="AC26" s="7" t="s">
        <v>366</v>
      </c>
      <c r="AD26" s="7" t="s">
        <v>364</v>
      </c>
      <c r="AE26" s="7" t="s">
        <v>365</v>
      </c>
      <c r="AF26" s="38" t="s">
        <v>531</v>
      </c>
      <c r="AG26" s="1">
        <v>1500</v>
      </c>
      <c r="AH26" s="13">
        <v>44117</v>
      </c>
    </row>
    <row r="27" spans="1:34" x14ac:dyDescent="0.25">
      <c r="A27" s="11">
        <v>100023</v>
      </c>
      <c r="B27" s="7" t="s">
        <v>89</v>
      </c>
      <c r="C27" s="7" t="s">
        <v>92</v>
      </c>
      <c r="D27" s="7" t="s">
        <v>90</v>
      </c>
      <c r="E27" s="7" t="s">
        <v>91</v>
      </c>
      <c r="F27" s="38" t="s">
        <v>468</v>
      </c>
      <c r="G27" s="1">
        <v>3000</v>
      </c>
      <c r="H27" s="13">
        <v>44099</v>
      </c>
      <c r="AA27" s="11">
        <v>100095</v>
      </c>
      <c r="AB27" s="7" t="s">
        <v>367</v>
      </c>
      <c r="AC27" s="7" t="s">
        <v>370</v>
      </c>
      <c r="AD27" s="7" t="s">
        <v>368</v>
      </c>
      <c r="AE27" s="7" t="s">
        <v>369</v>
      </c>
      <c r="AF27" s="38" t="s">
        <v>532</v>
      </c>
      <c r="AG27" s="1">
        <v>3000</v>
      </c>
      <c r="AH27" s="13">
        <v>44118</v>
      </c>
    </row>
    <row r="28" spans="1:34" x14ac:dyDescent="0.25">
      <c r="A28" s="11">
        <v>100024</v>
      </c>
      <c r="B28" s="7" t="s">
        <v>93</v>
      </c>
      <c r="C28" s="7" t="s">
        <v>96</v>
      </c>
      <c r="D28" s="7" t="s">
        <v>94</v>
      </c>
      <c r="E28" s="7" t="s">
        <v>95</v>
      </c>
      <c r="F28" s="38" t="s">
        <v>469</v>
      </c>
      <c r="G28" s="1">
        <v>3500</v>
      </c>
      <c r="H28" s="13">
        <v>44100</v>
      </c>
      <c r="AA28" s="11">
        <v>100097</v>
      </c>
      <c r="AB28" s="7" t="s">
        <v>391</v>
      </c>
      <c r="AC28" s="7" t="s">
        <v>377</v>
      </c>
      <c r="AD28" s="7" t="s">
        <v>375</v>
      </c>
      <c r="AE28" s="7" t="s">
        <v>376</v>
      </c>
      <c r="AF28" s="38" t="s">
        <v>534</v>
      </c>
      <c r="AG28" s="1">
        <v>2500</v>
      </c>
      <c r="AH28" s="13">
        <v>44120</v>
      </c>
    </row>
    <row r="29" spans="1:34" x14ac:dyDescent="0.25">
      <c r="A29" s="11">
        <v>100025</v>
      </c>
      <c r="B29" s="7" t="s">
        <v>97</v>
      </c>
      <c r="C29" s="7" t="s">
        <v>100</v>
      </c>
      <c r="D29" s="7" t="s">
        <v>98</v>
      </c>
      <c r="E29" s="7" t="s">
        <v>99</v>
      </c>
      <c r="F29" s="38" t="s">
        <v>470</v>
      </c>
      <c r="G29" s="1">
        <v>3500</v>
      </c>
      <c r="H29" s="13">
        <v>44101</v>
      </c>
      <c r="AA29" s="11"/>
      <c r="AF29" s="38"/>
      <c r="AG29" s="1"/>
      <c r="AH29" s="13"/>
    </row>
    <row r="30" spans="1:34" x14ac:dyDescent="0.25">
      <c r="A30" s="11">
        <v>100026</v>
      </c>
      <c r="B30" s="7" t="s">
        <v>101</v>
      </c>
      <c r="C30" s="7" t="s">
        <v>104</v>
      </c>
      <c r="D30" s="7" t="s">
        <v>102</v>
      </c>
      <c r="E30" s="7" t="s">
        <v>103</v>
      </c>
      <c r="F30" s="38" t="s">
        <v>471</v>
      </c>
      <c r="G30" s="1">
        <v>3500</v>
      </c>
      <c r="H30" s="13">
        <v>44102</v>
      </c>
      <c r="AA30" s="11"/>
      <c r="AF30" s="38"/>
      <c r="AG30" s="1"/>
      <c r="AH30" s="13"/>
    </row>
    <row r="31" spans="1:34" x14ac:dyDescent="0.25">
      <c r="A31" s="11">
        <v>100027</v>
      </c>
      <c r="B31" s="7" t="s">
        <v>105</v>
      </c>
      <c r="C31" s="7" t="s">
        <v>108</v>
      </c>
      <c r="D31" s="7" t="s">
        <v>106</v>
      </c>
      <c r="E31" s="7" t="s">
        <v>107</v>
      </c>
      <c r="F31" s="38" t="s">
        <v>450</v>
      </c>
      <c r="G31" s="1">
        <v>2500</v>
      </c>
      <c r="H31" s="13">
        <v>44103</v>
      </c>
      <c r="AA31" s="11"/>
      <c r="AF31" s="38"/>
      <c r="AG31" s="1"/>
      <c r="AH31" s="13"/>
    </row>
    <row r="32" spans="1:34" x14ac:dyDescent="0.25">
      <c r="A32" s="11">
        <v>100028</v>
      </c>
      <c r="B32" s="7" t="s">
        <v>109</v>
      </c>
      <c r="C32" s="7" t="s">
        <v>112</v>
      </c>
      <c r="D32" s="7" t="s">
        <v>110</v>
      </c>
      <c r="E32" s="7" t="s">
        <v>111</v>
      </c>
      <c r="F32" s="38" t="s">
        <v>472</v>
      </c>
      <c r="G32" s="1">
        <v>2500</v>
      </c>
      <c r="H32" s="13">
        <v>44051</v>
      </c>
      <c r="AA32" s="11"/>
      <c r="AF32" s="38"/>
      <c r="AG32" s="1"/>
      <c r="AH32" s="13"/>
    </row>
    <row r="33" spans="1:34" x14ac:dyDescent="0.25">
      <c r="A33" s="11">
        <v>100029</v>
      </c>
      <c r="B33" s="7" t="s">
        <v>113</v>
      </c>
      <c r="C33" s="7" t="s">
        <v>116</v>
      </c>
      <c r="D33" s="7" t="s">
        <v>114</v>
      </c>
      <c r="E33" s="7" t="s">
        <v>115</v>
      </c>
      <c r="F33" s="38" t="s">
        <v>473</v>
      </c>
      <c r="G33" s="1">
        <v>2500</v>
      </c>
      <c r="H33" s="13">
        <v>44052</v>
      </c>
      <c r="AA33" s="11"/>
      <c r="AF33" s="38"/>
      <c r="AG33" s="1"/>
      <c r="AH33" s="13"/>
    </row>
    <row r="34" spans="1:34" x14ac:dyDescent="0.25">
      <c r="A34" s="11">
        <v>100030</v>
      </c>
      <c r="B34" s="7" t="s">
        <v>117</v>
      </c>
      <c r="C34" s="7" t="s">
        <v>120</v>
      </c>
      <c r="D34" s="7" t="s">
        <v>118</v>
      </c>
      <c r="E34" s="7" t="s">
        <v>119</v>
      </c>
      <c r="F34" s="38" t="s">
        <v>474</v>
      </c>
      <c r="G34" s="1">
        <v>4500</v>
      </c>
      <c r="H34" s="13">
        <v>44053</v>
      </c>
      <c r="AA34" s="11"/>
      <c r="AF34" s="38"/>
      <c r="AG34" s="1"/>
      <c r="AH34" s="13"/>
    </row>
    <row r="35" spans="1:34" x14ac:dyDescent="0.25">
      <c r="A35" s="11">
        <v>100031</v>
      </c>
      <c r="B35" s="7" t="s">
        <v>121</v>
      </c>
      <c r="C35" s="7" t="s">
        <v>124</v>
      </c>
      <c r="D35" s="7" t="s">
        <v>122</v>
      </c>
      <c r="E35" s="7" t="s">
        <v>123</v>
      </c>
      <c r="F35" s="38" t="s">
        <v>475</v>
      </c>
      <c r="G35" s="1">
        <v>2500</v>
      </c>
      <c r="H35" s="13">
        <v>44054</v>
      </c>
      <c r="AA35" s="11"/>
      <c r="AF35" s="38"/>
      <c r="AG35" s="1"/>
      <c r="AH35" s="13"/>
    </row>
    <row r="36" spans="1:34" x14ac:dyDescent="0.25">
      <c r="A36" s="11">
        <v>100032</v>
      </c>
      <c r="B36" s="7" t="s">
        <v>125</v>
      </c>
      <c r="C36" s="7" t="s">
        <v>128</v>
      </c>
      <c r="D36" s="7" t="s">
        <v>126</v>
      </c>
      <c r="E36" s="7" t="s">
        <v>127</v>
      </c>
      <c r="F36" s="38" t="s">
        <v>476</v>
      </c>
      <c r="G36" s="1">
        <v>1000</v>
      </c>
      <c r="H36" s="13">
        <v>44055</v>
      </c>
      <c r="AA36" s="11"/>
      <c r="AF36" s="38"/>
      <c r="AG36" s="1"/>
      <c r="AH36" s="13"/>
    </row>
    <row r="37" spans="1:34" x14ac:dyDescent="0.25">
      <c r="A37" s="11">
        <v>100033</v>
      </c>
      <c r="B37" s="7" t="s">
        <v>129</v>
      </c>
      <c r="C37" s="7" t="s">
        <v>131</v>
      </c>
      <c r="D37" s="7" t="s">
        <v>130</v>
      </c>
      <c r="E37" s="7" t="s">
        <v>64</v>
      </c>
      <c r="F37" s="38" t="s">
        <v>477</v>
      </c>
      <c r="G37" s="1">
        <v>2500</v>
      </c>
      <c r="H37" s="13">
        <v>44056</v>
      </c>
      <c r="AA37" s="11"/>
      <c r="AF37" s="38"/>
      <c r="AG37" s="1"/>
      <c r="AH37" s="13"/>
    </row>
    <row r="38" spans="1:34" x14ac:dyDescent="0.25">
      <c r="A38" s="11">
        <v>100034</v>
      </c>
      <c r="B38" s="7" t="s">
        <v>132</v>
      </c>
      <c r="C38" s="7" t="s">
        <v>135</v>
      </c>
      <c r="D38" s="7" t="s">
        <v>133</v>
      </c>
      <c r="E38" s="7" t="s">
        <v>134</v>
      </c>
      <c r="F38" s="38" t="s">
        <v>478</v>
      </c>
      <c r="G38" s="1">
        <v>1500</v>
      </c>
      <c r="H38" s="13">
        <v>44057</v>
      </c>
      <c r="AA38" s="11"/>
      <c r="AF38" s="38"/>
      <c r="AG38" s="1"/>
      <c r="AH38" s="13"/>
    </row>
    <row r="39" spans="1:34" x14ac:dyDescent="0.25">
      <c r="A39" s="11">
        <v>100035</v>
      </c>
      <c r="B39" s="7" t="s">
        <v>136</v>
      </c>
      <c r="C39" s="7" t="s">
        <v>139</v>
      </c>
      <c r="D39" s="7" t="s">
        <v>137</v>
      </c>
      <c r="E39" s="7" t="s">
        <v>138</v>
      </c>
      <c r="F39" s="38" t="s">
        <v>479</v>
      </c>
      <c r="G39" s="1">
        <v>3000</v>
      </c>
      <c r="H39" s="13">
        <v>44058</v>
      </c>
      <c r="AA39" s="11"/>
      <c r="AF39" s="38"/>
      <c r="AG39" s="1"/>
      <c r="AH39" s="13"/>
    </row>
    <row r="40" spans="1:34" x14ac:dyDescent="0.25">
      <c r="A40" s="11">
        <v>100036</v>
      </c>
      <c r="B40" s="7" t="s">
        <v>140</v>
      </c>
      <c r="C40" s="7" t="s">
        <v>143</v>
      </c>
      <c r="D40" s="7" t="s">
        <v>141</v>
      </c>
      <c r="E40" s="7" t="s">
        <v>142</v>
      </c>
      <c r="F40" s="38" t="s">
        <v>480</v>
      </c>
      <c r="G40" s="1">
        <v>2000</v>
      </c>
      <c r="H40" s="13">
        <v>44059</v>
      </c>
      <c r="AA40" s="11"/>
      <c r="AF40" s="38"/>
      <c r="AG40" s="1"/>
      <c r="AH40" s="13"/>
    </row>
    <row r="41" spans="1:34" x14ac:dyDescent="0.25">
      <c r="A41" s="11">
        <v>100037</v>
      </c>
      <c r="B41" s="7" t="s">
        <v>144</v>
      </c>
      <c r="C41" s="7" t="s">
        <v>147</v>
      </c>
      <c r="D41" s="7" t="s">
        <v>145</v>
      </c>
      <c r="E41" s="7" t="s">
        <v>146</v>
      </c>
      <c r="F41" s="38" t="s">
        <v>481</v>
      </c>
      <c r="G41" s="1">
        <v>500</v>
      </c>
      <c r="H41" s="13">
        <v>44060</v>
      </c>
      <c r="AA41" s="11"/>
      <c r="AF41" s="38"/>
      <c r="AG41" s="1"/>
      <c r="AH41" s="13"/>
    </row>
    <row r="42" spans="1:34" x14ac:dyDescent="0.25">
      <c r="A42" s="11">
        <v>100038</v>
      </c>
      <c r="B42" s="7" t="s">
        <v>148</v>
      </c>
      <c r="C42" s="7" t="s">
        <v>151</v>
      </c>
      <c r="D42" s="7" t="s">
        <v>149</v>
      </c>
      <c r="E42" s="7" t="s">
        <v>150</v>
      </c>
      <c r="F42" s="38" t="s">
        <v>482</v>
      </c>
      <c r="G42" s="1">
        <v>4000</v>
      </c>
      <c r="H42" s="13">
        <v>44061</v>
      </c>
      <c r="AA42" s="11"/>
      <c r="AF42" s="38"/>
      <c r="AG42" s="1"/>
      <c r="AH42" s="13"/>
    </row>
    <row r="43" spans="1:34" x14ac:dyDescent="0.25">
      <c r="A43" s="11">
        <v>100039</v>
      </c>
      <c r="B43" s="7" t="s">
        <v>152</v>
      </c>
      <c r="C43" s="7" t="s">
        <v>155</v>
      </c>
      <c r="D43" s="7" t="s">
        <v>153</v>
      </c>
      <c r="E43" s="7" t="s">
        <v>154</v>
      </c>
      <c r="F43" s="38" t="s">
        <v>483</v>
      </c>
      <c r="G43" s="1">
        <v>0</v>
      </c>
      <c r="H43" s="13">
        <v>44062</v>
      </c>
      <c r="AA43" s="11"/>
      <c r="AF43" s="38"/>
      <c r="AG43" s="1"/>
      <c r="AH43" s="13"/>
    </row>
    <row r="44" spans="1:34" x14ac:dyDescent="0.25">
      <c r="A44" s="11">
        <v>100040</v>
      </c>
      <c r="B44" s="7" t="s">
        <v>156</v>
      </c>
      <c r="C44" s="7" t="s">
        <v>159</v>
      </c>
      <c r="D44" s="7" t="s">
        <v>157</v>
      </c>
      <c r="E44" s="7" t="s">
        <v>158</v>
      </c>
      <c r="F44" s="38" t="s">
        <v>476</v>
      </c>
      <c r="G44" s="1">
        <v>500</v>
      </c>
      <c r="H44" s="13">
        <v>44063</v>
      </c>
      <c r="AA44" s="11"/>
      <c r="AF44" s="38"/>
      <c r="AG44" s="1"/>
      <c r="AH44" s="13"/>
    </row>
    <row r="45" spans="1:34" x14ac:dyDescent="0.25">
      <c r="A45" s="11">
        <v>100041</v>
      </c>
      <c r="B45" s="7" t="s">
        <v>160</v>
      </c>
      <c r="C45" s="7" t="s">
        <v>163</v>
      </c>
      <c r="D45" s="7" t="s">
        <v>161</v>
      </c>
      <c r="E45" s="7" t="s">
        <v>162</v>
      </c>
      <c r="F45" s="38" t="s">
        <v>484</v>
      </c>
      <c r="G45" s="1">
        <v>3500</v>
      </c>
      <c r="H45" s="13">
        <v>44064</v>
      </c>
      <c r="AA45" s="11"/>
      <c r="AF45" s="38"/>
      <c r="AG45" s="1"/>
      <c r="AH45" s="13"/>
    </row>
    <row r="46" spans="1:34" x14ac:dyDescent="0.25">
      <c r="A46" s="11">
        <v>100042</v>
      </c>
      <c r="B46" s="7" t="s">
        <v>389</v>
      </c>
      <c r="C46" s="7" t="s">
        <v>166</v>
      </c>
      <c r="D46" s="7" t="s">
        <v>164</v>
      </c>
      <c r="E46" s="7" t="s">
        <v>165</v>
      </c>
      <c r="F46" s="38" t="s">
        <v>485</v>
      </c>
      <c r="G46" s="1">
        <v>500</v>
      </c>
      <c r="H46" s="13">
        <v>44065</v>
      </c>
      <c r="AA46" s="11"/>
      <c r="AF46" s="38"/>
      <c r="AG46" s="1"/>
      <c r="AH46" s="13"/>
    </row>
    <row r="47" spans="1:34" x14ac:dyDescent="0.25">
      <c r="A47" s="11">
        <v>100043</v>
      </c>
      <c r="B47" s="7" t="s">
        <v>167</v>
      </c>
      <c r="C47" s="7" t="s">
        <v>170</v>
      </c>
      <c r="D47" s="7" t="s">
        <v>168</v>
      </c>
      <c r="E47" s="7" t="s">
        <v>169</v>
      </c>
      <c r="F47" s="38" t="s">
        <v>486</v>
      </c>
      <c r="G47" s="1">
        <v>1000</v>
      </c>
      <c r="H47" s="13">
        <v>44066</v>
      </c>
      <c r="AA47" s="11"/>
      <c r="AF47" s="38"/>
      <c r="AG47" s="1"/>
      <c r="AH47" s="13"/>
    </row>
    <row r="48" spans="1:34" x14ac:dyDescent="0.25">
      <c r="A48" s="11">
        <v>100044</v>
      </c>
      <c r="B48" s="7" t="s">
        <v>171</v>
      </c>
      <c r="C48" s="7" t="s">
        <v>174</v>
      </c>
      <c r="D48" s="7" t="s">
        <v>172</v>
      </c>
      <c r="E48" s="7" t="s">
        <v>173</v>
      </c>
      <c r="F48" s="38" t="s">
        <v>456</v>
      </c>
      <c r="G48" s="1">
        <v>2500</v>
      </c>
      <c r="H48" s="13">
        <v>44067</v>
      </c>
      <c r="AA48" s="11"/>
      <c r="AF48" s="38"/>
      <c r="AG48" s="1"/>
      <c r="AH48" s="13"/>
    </row>
    <row r="49" spans="1:34" x14ac:dyDescent="0.25">
      <c r="A49" s="11">
        <v>100045</v>
      </c>
      <c r="B49" s="7" t="s">
        <v>175</v>
      </c>
      <c r="C49" s="7" t="s">
        <v>178</v>
      </c>
      <c r="D49" s="7" t="s">
        <v>176</v>
      </c>
      <c r="E49" s="7" t="s">
        <v>177</v>
      </c>
      <c r="F49" s="38" t="s">
        <v>487</v>
      </c>
      <c r="G49" s="1">
        <v>3000</v>
      </c>
      <c r="H49" s="13">
        <v>44068</v>
      </c>
      <c r="AA49" s="11"/>
      <c r="AF49" s="38"/>
      <c r="AG49" s="1"/>
      <c r="AH49" s="13"/>
    </row>
    <row r="50" spans="1:34" x14ac:dyDescent="0.25">
      <c r="A50" s="11">
        <v>100046</v>
      </c>
      <c r="B50" s="7" t="s">
        <v>179</v>
      </c>
      <c r="C50" s="7" t="s">
        <v>182</v>
      </c>
      <c r="D50" s="7" t="s">
        <v>180</v>
      </c>
      <c r="E50" s="7" t="s">
        <v>181</v>
      </c>
      <c r="F50" s="38" t="s">
        <v>488</v>
      </c>
      <c r="G50" s="1">
        <v>3500</v>
      </c>
      <c r="H50" s="13">
        <v>44069</v>
      </c>
      <c r="AA50" s="11"/>
      <c r="AF50" s="38"/>
      <c r="AG50" s="1"/>
      <c r="AH50" s="13"/>
    </row>
    <row r="51" spans="1:34" x14ac:dyDescent="0.25">
      <c r="A51" s="11">
        <v>100047</v>
      </c>
      <c r="B51" s="7" t="s">
        <v>183</v>
      </c>
      <c r="C51" s="7" t="s">
        <v>186</v>
      </c>
      <c r="D51" s="7" t="s">
        <v>184</v>
      </c>
      <c r="E51" s="7" t="s">
        <v>185</v>
      </c>
      <c r="F51" s="38" t="s">
        <v>489</v>
      </c>
      <c r="G51" s="1">
        <v>500</v>
      </c>
      <c r="H51" s="13">
        <v>44070</v>
      </c>
      <c r="AA51" s="11"/>
      <c r="AF51" s="38"/>
      <c r="AG51" s="1"/>
      <c r="AH51" s="13"/>
    </row>
    <row r="52" spans="1:34" x14ac:dyDescent="0.25">
      <c r="A52" s="11">
        <v>100048</v>
      </c>
      <c r="B52" s="7" t="s">
        <v>187</v>
      </c>
      <c r="C52" s="7" t="s">
        <v>190</v>
      </c>
      <c r="D52" s="7" t="s">
        <v>188</v>
      </c>
      <c r="E52" s="7" t="s">
        <v>189</v>
      </c>
      <c r="F52" s="38" t="s">
        <v>490</v>
      </c>
      <c r="G52" s="1">
        <v>4000</v>
      </c>
      <c r="H52" s="13">
        <v>44071</v>
      </c>
      <c r="AA52" s="11"/>
      <c r="AF52" s="38"/>
      <c r="AG52" s="1"/>
      <c r="AH52" s="13"/>
    </row>
    <row r="53" spans="1:34" x14ac:dyDescent="0.25">
      <c r="A53" s="11">
        <v>100049</v>
      </c>
      <c r="B53" s="7" t="s">
        <v>191</v>
      </c>
      <c r="C53" s="7" t="s">
        <v>194</v>
      </c>
      <c r="D53" s="7" t="s">
        <v>192</v>
      </c>
      <c r="E53" s="7" t="s">
        <v>193</v>
      </c>
      <c r="F53" s="38" t="s">
        <v>491</v>
      </c>
      <c r="G53" s="1">
        <v>500</v>
      </c>
      <c r="H53" s="13">
        <v>44072</v>
      </c>
      <c r="AA53" s="11"/>
      <c r="AF53" s="38"/>
      <c r="AG53" s="1"/>
      <c r="AH53" s="13"/>
    </row>
    <row r="54" spans="1:34" x14ac:dyDescent="0.25">
      <c r="A54" s="11">
        <v>100050</v>
      </c>
      <c r="B54" s="7" t="s">
        <v>195</v>
      </c>
      <c r="C54" s="7" t="s">
        <v>198</v>
      </c>
      <c r="D54" s="7" t="s">
        <v>196</v>
      </c>
      <c r="E54" s="7" t="s">
        <v>197</v>
      </c>
      <c r="F54" s="38" t="s">
        <v>492</v>
      </c>
      <c r="G54" s="1">
        <v>4500</v>
      </c>
      <c r="H54" s="13">
        <v>44073</v>
      </c>
      <c r="AA54" s="11"/>
      <c r="AF54" s="38"/>
      <c r="AG54" s="1"/>
      <c r="AH54" s="13"/>
    </row>
    <row r="55" spans="1:34" x14ac:dyDescent="0.25">
      <c r="A55" s="11">
        <v>100051</v>
      </c>
      <c r="B55" s="7" t="s">
        <v>199</v>
      </c>
      <c r="C55" s="7" t="s">
        <v>202</v>
      </c>
      <c r="D55" s="7" t="s">
        <v>200</v>
      </c>
      <c r="E55" s="7" t="s">
        <v>201</v>
      </c>
      <c r="F55" s="38" t="s">
        <v>493</v>
      </c>
      <c r="G55" s="1">
        <v>1000</v>
      </c>
      <c r="H55" s="13">
        <v>44074</v>
      </c>
      <c r="AA55" s="11"/>
      <c r="AF55" s="38"/>
      <c r="AG55" s="1"/>
      <c r="AH55" s="13"/>
    </row>
    <row r="56" spans="1:34" x14ac:dyDescent="0.25">
      <c r="A56" s="11">
        <v>100052</v>
      </c>
      <c r="B56" s="7" t="s">
        <v>203</v>
      </c>
      <c r="C56" s="7" t="s">
        <v>206</v>
      </c>
      <c r="D56" s="7" t="s">
        <v>204</v>
      </c>
      <c r="E56" s="7" t="s">
        <v>205</v>
      </c>
      <c r="F56" s="38" t="s">
        <v>494</v>
      </c>
      <c r="G56" s="1">
        <v>0</v>
      </c>
      <c r="H56" s="13">
        <v>44075</v>
      </c>
      <c r="AA56" s="11"/>
      <c r="AF56" s="38"/>
      <c r="AG56" s="1"/>
      <c r="AH56" s="13"/>
    </row>
    <row r="57" spans="1:34" x14ac:dyDescent="0.25">
      <c r="A57" s="11">
        <v>100053</v>
      </c>
      <c r="B57" s="7" t="s">
        <v>207</v>
      </c>
      <c r="C57" s="7" t="s">
        <v>210</v>
      </c>
      <c r="D57" s="7" t="s">
        <v>208</v>
      </c>
      <c r="E57" s="7" t="s">
        <v>209</v>
      </c>
      <c r="F57" s="38" t="s">
        <v>495</v>
      </c>
      <c r="G57" s="1">
        <v>500</v>
      </c>
      <c r="H57" s="13">
        <v>44076</v>
      </c>
      <c r="AA57" s="11"/>
      <c r="AF57" s="38"/>
      <c r="AG57" s="1"/>
      <c r="AH57" s="13"/>
    </row>
    <row r="58" spans="1:34" x14ac:dyDescent="0.25">
      <c r="A58" s="11">
        <v>100054</v>
      </c>
      <c r="B58" s="7" t="s">
        <v>211</v>
      </c>
      <c r="C58" s="7" t="s">
        <v>214</v>
      </c>
      <c r="D58" s="7" t="s">
        <v>212</v>
      </c>
      <c r="E58" s="7" t="s">
        <v>213</v>
      </c>
      <c r="F58" s="38" t="s">
        <v>496</v>
      </c>
      <c r="G58" s="1">
        <v>2000</v>
      </c>
      <c r="H58" s="13">
        <v>44077</v>
      </c>
      <c r="AA58" s="11"/>
      <c r="AF58" s="38"/>
      <c r="AG58" s="1"/>
      <c r="AH58" s="13"/>
    </row>
    <row r="59" spans="1:34" x14ac:dyDescent="0.25">
      <c r="A59" s="11">
        <v>100055</v>
      </c>
      <c r="B59" s="7" t="s">
        <v>215</v>
      </c>
      <c r="C59" s="7" t="s">
        <v>218</v>
      </c>
      <c r="D59" s="7" t="s">
        <v>216</v>
      </c>
      <c r="E59" s="7" t="s">
        <v>217</v>
      </c>
      <c r="F59" s="38" t="s">
        <v>497</v>
      </c>
      <c r="G59" s="1">
        <v>0</v>
      </c>
      <c r="H59" s="13">
        <v>44078</v>
      </c>
      <c r="AA59" s="11"/>
      <c r="AF59" s="38"/>
      <c r="AG59" s="1"/>
      <c r="AH59" s="13"/>
    </row>
    <row r="60" spans="1:34" x14ac:dyDescent="0.25">
      <c r="A60" s="11">
        <v>100056</v>
      </c>
      <c r="B60" s="12" t="s">
        <v>219</v>
      </c>
      <c r="C60" s="11" t="s">
        <v>222</v>
      </c>
      <c r="D60" s="11" t="s">
        <v>220</v>
      </c>
      <c r="E60" s="11" t="s">
        <v>221</v>
      </c>
      <c r="F60" s="39" t="s">
        <v>498</v>
      </c>
      <c r="G60" s="6">
        <v>1500</v>
      </c>
      <c r="H60" s="16">
        <v>44079</v>
      </c>
      <c r="AA60" s="11"/>
      <c r="AF60" s="38"/>
      <c r="AG60" s="1"/>
      <c r="AH60" s="13"/>
    </row>
    <row r="61" spans="1:34" x14ac:dyDescent="0.25">
      <c r="A61" s="11">
        <v>100057</v>
      </c>
      <c r="B61" s="7" t="s">
        <v>223</v>
      </c>
      <c r="C61" s="7" t="s">
        <v>226</v>
      </c>
      <c r="D61" s="7" t="s">
        <v>224</v>
      </c>
      <c r="E61" s="7" t="s">
        <v>225</v>
      </c>
      <c r="F61" s="38" t="s">
        <v>499</v>
      </c>
      <c r="G61" s="1">
        <v>500</v>
      </c>
      <c r="H61" s="13">
        <v>44080</v>
      </c>
      <c r="AA61" s="11"/>
      <c r="AF61" s="38"/>
      <c r="AG61" s="1"/>
      <c r="AH61" s="13"/>
    </row>
    <row r="62" spans="1:34" x14ac:dyDescent="0.25">
      <c r="A62" s="11">
        <v>100058</v>
      </c>
      <c r="B62" s="7" t="s">
        <v>227</v>
      </c>
      <c r="C62" s="7" t="s">
        <v>230</v>
      </c>
      <c r="D62" s="7" t="s">
        <v>228</v>
      </c>
      <c r="E62" s="7" t="s">
        <v>229</v>
      </c>
      <c r="F62" s="38" t="s">
        <v>500</v>
      </c>
      <c r="G62" s="1">
        <v>4500</v>
      </c>
      <c r="H62" s="13">
        <v>44081</v>
      </c>
      <c r="AA62" s="11"/>
      <c r="AF62" s="38"/>
      <c r="AG62" s="1"/>
      <c r="AH62" s="13"/>
    </row>
    <row r="63" spans="1:34" x14ac:dyDescent="0.25">
      <c r="A63" s="11">
        <v>100059</v>
      </c>
      <c r="B63" s="7" t="s">
        <v>231</v>
      </c>
      <c r="C63" s="7" t="s">
        <v>234</v>
      </c>
      <c r="D63" s="7" t="s">
        <v>232</v>
      </c>
      <c r="E63" s="7" t="s">
        <v>233</v>
      </c>
      <c r="F63" s="38" t="s">
        <v>501</v>
      </c>
      <c r="G63" s="1">
        <v>3000</v>
      </c>
      <c r="H63" s="13">
        <v>44082</v>
      </c>
      <c r="AA63" s="11"/>
      <c r="AF63" s="38"/>
      <c r="AG63" s="1"/>
      <c r="AH63" s="13"/>
    </row>
    <row r="64" spans="1:34" x14ac:dyDescent="0.25">
      <c r="A64" s="11">
        <v>100060</v>
      </c>
      <c r="B64" s="7" t="s">
        <v>235</v>
      </c>
      <c r="C64" s="7" t="s">
        <v>238</v>
      </c>
      <c r="D64" s="7" t="s">
        <v>236</v>
      </c>
      <c r="E64" s="7" t="s">
        <v>237</v>
      </c>
      <c r="F64" s="38" t="s">
        <v>502</v>
      </c>
      <c r="G64" s="1">
        <v>1000</v>
      </c>
      <c r="H64" s="13">
        <v>44083</v>
      </c>
      <c r="AA64" s="11"/>
      <c r="AF64" s="38"/>
      <c r="AG64" s="1"/>
      <c r="AH64" s="13"/>
    </row>
    <row r="65" spans="1:34" x14ac:dyDescent="0.25">
      <c r="A65" s="11">
        <v>100061</v>
      </c>
      <c r="B65" s="7" t="s">
        <v>239</v>
      </c>
      <c r="C65" s="7" t="s">
        <v>242</v>
      </c>
      <c r="D65" s="7" t="s">
        <v>240</v>
      </c>
      <c r="E65" s="7" t="s">
        <v>241</v>
      </c>
      <c r="F65" s="38" t="s">
        <v>503</v>
      </c>
      <c r="G65" s="1">
        <v>500</v>
      </c>
      <c r="H65" s="13">
        <v>44084</v>
      </c>
      <c r="AA65" s="11"/>
      <c r="AF65" s="38"/>
      <c r="AG65" s="1"/>
      <c r="AH65" s="13"/>
    </row>
    <row r="66" spans="1:34" x14ac:dyDescent="0.25">
      <c r="A66" s="11">
        <v>100062</v>
      </c>
      <c r="B66" s="7" t="s">
        <v>243</v>
      </c>
      <c r="C66" s="7" t="s">
        <v>245</v>
      </c>
      <c r="D66" s="7" t="s">
        <v>244</v>
      </c>
      <c r="E66" s="7" t="s">
        <v>185</v>
      </c>
      <c r="F66" s="38" t="s">
        <v>504</v>
      </c>
      <c r="G66" s="1">
        <v>500</v>
      </c>
      <c r="H66" s="13">
        <v>44085</v>
      </c>
      <c r="AA66" s="11"/>
      <c r="AF66" s="38"/>
      <c r="AG66" s="1"/>
      <c r="AH66" s="13"/>
    </row>
    <row r="67" spans="1:34" x14ac:dyDescent="0.25">
      <c r="A67" s="11">
        <v>100063</v>
      </c>
      <c r="B67" s="7" t="s">
        <v>246</v>
      </c>
      <c r="C67" s="7" t="s">
        <v>249</v>
      </c>
      <c r="D67" s="7" t="s">
        <v>247</v>
      </c>
      <c r="E67" s="7" t="s">
        <v>248</v>
      </c>
      <c r="F67" s="38" t="s">
        <v>505</v>
      </c>
      <c r="G67" s="1">
        <v>4000</v>
      </c>
      <c r="H67" s="13">
        <v>44086</v>
      </c>
      <c r="AA67" s="11"/>
      <c r="AF67" s="38"/>
      <c r="AG67" s="1"/>
      <c r="AH67" s="13"/>
    </row>
    <row r="68" spans="1:34" x14ac:dyDescent="0.25">
      <c r="A68" s="11">
        <v>100064</v>
      </c>
      <c r="B68" s="7" t="s">
        <v>250</v>
      </c>
      <c r="C68" s="7" t="s">
        <v>253</v>
      </c>
      <c r="D68" s="7" t="s">
        <v>251</v>
      </c>
      <c r="E68" s="7" t="s">
        <v>252</v>
      </c>
      <c r="F68" s="38" t="s">
        <v>506</v>
      </c>
      <c r="G68" s="1">
        <v>3000</v>
      </c>
      <c r="H68" s="13">
        <v>44087</v>
      </c>
      <c r="AA68" s="11"/>
      <c r="AF68" s="38"/>
      <c r="AG68" s="1"/>
      <c r="AH68" s="13"/>
    </row>
    <row r="69" spans="1:34" x14ac:dyDescent="0.25">
      <c r="A69" s="11">
        <v>100065</v>
      </c>
      <c r="B69" s="7" t="s">
        <v>254</v>
      </c>
      <c r="C69" s="7" t="s">
        <v>257</v>
      </c>
      <c r="D69" s="7" t="s">
        <v>255</v>
      </c>
      <c r="E69" s="7" t="s">
        <v>256</v>
      </c>
      <c r="F69" s="38" t="s">
        <v>507</v>
      </c>
      <c r="G69" s="1">
        <v>500</v>
      </c>
      <c r="H69" s="13">
        <v>44088</v>
      </c>
      <c r="AA69" s="11"/>
      <c r="AF69" s="38"/>
      <c r="AG69" s="1"/>
      <c r="AH69" s="13"/>
    </row>
    <row r="70" spans="1:34" x14ac:dyDescent="0.25">
      <c r="A70" s="11">
        <v>100066</v>
      </c>
      <c r="B70" s="7" t="s">
        <v>258</v>
      </c>
      <c r="C70" s="7" t="s">
        <v>261</v>
      </c>
      <c r="D70" s="7" t="s">
        <v>259</v>
      </c>
      <c r="E70" s="7" t="s">
        <v>260</v>
      </c>
      <c r="F70" s="38" t="s">
        <v>508</v>
      </c>
      <c r="G70" s="1">
        <v>1500</v>
      </c>
      <c r="H70" s="13">
        <v>44089</v>
      </c>
      <c r="AA70" s="11"/>
      <c r="AF70" s="38"/>
      <c r="AG70" s="1"/>
      <c r="AH70" s="13"/>
    </row>
    <row r="71" spans="1:34" x14ac:dyDescent="0.25">
      <c r="A71" s="11">
        <v>100067</v>
      </c>
      <c r="B71" s="7" t="s">
        <v>262</v>
      </c>
      <c r="C71" s="7" t="s">
        <v>265</v>
      </c>
      <c r="D71" s="7" t="s">
        <v>263</v>
      </c>
      <c r="E71" s="7" t="s">
        <v>264</v>
      </c>
      <c r="F71" s="38" t="s">
        <v>509</v>
      </c>
      <c r="G71" s="1">
        <v>1500</v>
      </c>
      <c r="H71" s="13">
        <v>44090</v>
      </c>
      <c r="AA71" s="11"/>
      <c r="AF71" s="38"/>
      <c r="AG71" s="1"/>
      <c r="AH71" s="13"/>
    </row>
    <row r="72" spans="1:34" x14ac:dyDescent="0.25">
      <c r="A72" s="11">
        <v>100068</v>
      </c>
      <c r="B72" s="7" t="s">
        <v>266</v>
      </c>
      <c r="C72" s="7" t="s">
        <v>269</v>
      </c>
      <c r="D72" s="7" t="s">
        <v>267</v>
      </c>
      <c r="E72" s="7" t="s">
        <v>268</v>
      </c>
      <c r="F72" s="38" t="s">
        <v>510</v>
      </c>
      <c r="G72" s="1">
        <v>1000</v>
      </c>
      <c r="H72" s="13">
        <v>44091</v>
      </c>
      <c r="AA72" s="11"/>
      <c r="AF72" s="38"/>
      <c r="AG72" s="1"/>
      <c r="AH72" s="13"/>
    </row>
    <row r="73" spans="1:34" x14ac:dyDescent="0.25">
      <c r="A73" s="11">
        <v>100069</v>
      </c>
      <c r="B73" s="7" t="s">
        <v>270</v>
      </c>
      <c r="C73" s="7" t="s">
        <v>273</v>
      </c>
      <c r="D73" s="7" t="s">
        <v>271</v>
      </c>
      <c r="E73" s="7" t="s">
        <v>272</v>
      </c>
      <c r="F73" s="38" t="s">
        <v>511</v>
      </c>
      <c r="G73" s="1">
        <v>500</v>
      </c>
      <c r="H73" s="13">
        <v>44092</v>
      </c>
      <c r="AA73" s="11"/>
      <c r="AF73" s="38"/>
      <c r="AG73" s="1"/>
      <c r="AH73" s="13"/>
    </row>
    <row r="74" spans="1:34" x14ac:dyDescent="0.25">
      <c r="A74" s="11">
        <v>100070</v>
      </c>
      <c r="B74" s="7" t="s">
        <v>274</v>
      </c>
      <c r="C74" s="7" t="s">
        <v>277</v>
      </c>
      <c r="D74" s="7" t="s">
        <v>275</v>
      </c>
      <c r="E74" s="7" t="s">
        <v>276</v>
      </c>
      <c r="F74" s="38" t="s">
        <v>512</v>
      </c>
      <c r="G74" s="1">
        <v>1500</v>
      </c>
      <c r="H74" s="13">
        <v>44093</v>
      </c>
      <c r="AA74" s="11"/>
      <c r="AF74" s="38"/>
      <c r="AG74" s="1"/>
      <c r="AH74" s="13"/>
    </row>
    <row r="75" spans="1:34" x14ac:dyDescent="0.25">
      <c r="A75" s="11">
        <v>100071</v>
      </c>
      <c r="B75" s="7" t="s">
        <v>278</v>
      </c>
      <c r="C75" s="7" t="s">
        <v>281</v>
      </c>
      <c r="D75" s="7" t="s">
        <v>279</v>
      </c>
      <c r="E75" s="7" t="s">
        <v>280</v>
      </c>
      <c r="F75" s="38" t="s">
        <v>513</v>
      </c>
      <c r="G75" s="1">
        <v>500</v>
      </c>
      <c r="H75" s="13">
        <v>44094</v>
      </c>
      <c r="AA75" s="11"/>
      <c r="AF75" s="38"/>
      <c r="AG75" s="1"/>
      <c r="AH75" s="13"/>
    </row>
    <row r="76" spans="1:34" x14ac:dyDescent="0.25">
      <c r="A76" s="11">
        <v>100072</v>
      </c>
      <c r="B76" s="7" t="s">
        <v>282</v>
      </c>
      <c r="C76" s="7" t="s">
        <v>285</v>
      </c>
      <c r="D76" s="7" t="s">
        <v>283</v>
      </c>
      <c r="E76" s="7" t="s">
        <v>284</v>
      </c>
      <c r="F76" s="38" t="s">
        <v>514</v>
      </c>
      <c r="G76" s="1">
        <v>1500</v>
      </c>
      <c r="H76" s="13">
        <v>44095</v>
      </c>
      <c r="AA76" s="11"/>
      <c r="AF76" s="38"/>
      <c r="AG76" s="1"/>
      <c r="AH76" s="13"/>
    </row>
    <row r="77" spans="1:34" x14ac:dyDescent="0.25">
      <c r="A77" s="11">
        <v>100073</v>
      </c>
      <c r="B77" s="7" t="s">
        <v>286</v>
      </c>
      <c r="C77" s="7" t="s">
        <v>288</v>
      </c>
      <c r="D77" s="7" t="s">
        <v>21</v>
      </c>
      <c r="E77" s="7" t="s">
        <v>287</v>
      </c>
      <c r="F77" s="38" t="s">
        <v>515</v>
      </c>
      <c r="G77" s="1">
        <v>3000</v>
      </c>
      <c r="H77" s="13">
        <v>44096</v>
      </c>
      <c r="AA77" s="11"/>
      <c r="AF77" s="38"/>
      <c r="AG77" s="1"/>
      <c r="AH77" s="13"/>
    </row>
    <row r="78" spans="1:34" x14ac:dyDescent="0.25">
      <c r="A78" s="11">
        <v>100074</v>
      </c>
      <c r="B78" s="7" t="s">
        <v>289</v>
      </c>
      <c r="C78" s="7" t="s">
        <v>292</v>
      </c>
      <c r="D78" s="7" t="s">
        <v>290</v>
      </c>
      <c r="E78" s="7" t="s">
        <v>291</v>
      </c>
      <c r="F78" s="38" t="s">
        <v>516</v>
      </c>
      <c r="G78" s="1">
        <v>2000</v>
      </c>
      <c r="H78" s="13">
        <v>44097</v>
      </c>
      <c r="AA78" s="11"/>
      <c r="AF78" s="38"/>
      <c r="AG78" s="1"/>
      <c r="AH78" s="13"/>
    </row>
    <row r="79" spans="1:34" x14ac:dyDescent="0.25">
      <c r="A79" s="11">
        <v>100075</v>
      </c>
      <c r="B79" s="7" t="s">
        <v>293</v>
      </c>
      <c r="C79" s="7" t="s">
        <v>296</v>
      </c>
      <c r="D79" s="7" t="s">
        <v>294</v>
      </c>
      <c r="E79" s="7" t="s">
        <v>295</v>
      </c>
      <c r="F79" s="38" t="s">
        <v>456</v>
      </c>
      <c r="G79" s="1">
        <v>4500</v>
      </c>
      <c r="H79" s="13">
        <v>44098</v>
      </c>
      <c r="AA79" s="11"/>
      <c r="AF79" s="38"/>
      <c r="AG79" s="1"/>
      <c r="AH79" s="13"/>
    </row>
    <row r="80" spans="1:34" x14ac:dyDescent="0.25">
      <c r="A80" s="11">
        <v>100076</v>
      </c>
      <c r="B80" s="7" t="s">
        <v>297</v>
      </c>
      <c r="C80" s="7" t="s">
        <v>300</v>
      </c>
      <c r="D80" s="7" t="s">
        <v>298</v>
      </c>
      <c r="E80" s="7" t="s">
        <v>299</v>
      </c>
      <c r="F80" s="38" t="s">
        <v>517</v>
      </c>
      <c r="G80" s="1">
        <v>4500</v>
      </c>
      <c r="H80" s="13">
        <v>44099</v>
      </c>
      <c r="AA80" s="11"/>
      <c r="AF80" s="38"/>
      <c r="AG80" s="1"/>
      <c r="AH80" s="13"/>
    </row>
    <row r="81" spans="1:34" x14ac:dyDescent="0.25">
      <c r="A81" s="11">
        <v>100077</v>
      </c>
      <c r="B81" s="7" t="s">
        <v>301</v>
      </c>
      <c r="C81" s="7" t="s">
        <v>304</v>
      </c>
      <c r="D81" s="7" t="s">
        <v>302</v>
      </c>
      <c r="E81" s="7" t="s">
        <v>303</v>
      </c>
      <c r="F81" s="38" t="s">
        <v>518</v>
      </c>
      <c r="G81" s="1">
        <v>4500</v>
      </c>
      <c r="H81" s="13">
        <v>44100</v>
      </c>
      <c r="AA81" s="11"/>
      <c r="AF81" s="38"/>
      <c r="AG81" s="1"/>
      <c r="AH81" s="13"/>
    </row>
    <row r="82" spans="1:34" x14ac:dyDescent="0.25">
      <c r="A82" s="11">
        <v>100078</v>
      </c>
      <c r="B82" s="7" t="s">
        <v>305</v>
      </c>
      <c r="C82" s="7" t="s">
        <v>308</v>
      </c>
      <c r="D82" s="7" t="s">
        <v>306</v>
      </c>
      <c r="E82" s="7" t="s">
        <v>307</v>
      </c>
      <c r="F82" s="38" t="s">
        <v>519</v>
      </c>
      <c r="G82" s="1">
        <v>2000</v>
      </c>
      <c r="H82" s="13">
        <v>44101</v>
      </c>
      <c r="AA82" s="11"/>
      <c r="AF82" s="38"/>
      <c r="AG82" s="1"/>
      <c r="AH82" s="13"/>
    </row>
    <row r="83" spans="1:34" x14ac:dyDescent="0.25">
      <c r="A83" s="11">
        <v>100079</v>
      </c>
      <c r="B83" s="7" t="s">
        <v>309</v>
      </c>
      <c r="C83" s="7" t="s">
        <v>312</v>
      </c>
      <c r="D83" s="7" t="s">
        <v>310</v>
      </c>
      <c r="E83" s="7" t="s">
        <v>311</v>
      </c>
      <c r="F83" s="38" t="s">
        <v>515</v>
      </c>
      <c r="G83" s="1">
        <v>1500</v>
      </c>
      <c r="H83" s="13">
        <v>44102</v>
      </c>
      <c r="AA83" s="11"/>
      <c r="AF83" s="38"/>
      <c r="AG83" s="1"/>
      <c r="AH83" s="13"/>
    </row>
    <row r="84" spans="1:34" x14ac:dyDescent="0.25">
      <c r="A84" s="11">
        <v>100080</v>
      </c>
      <c r="B84" s="7" t="s">
        <v>313</v>
      </c>
      <c r="C84" s="7" t="s">
        <v>316</v>
      </c>
      <c r="D84" s="7" t="s">
        <v>314</v>
      </c>
      <c r="E84" s="7" t="s">
        <v>315</v>
      </c>
      <c r="F84" s="38" t="s">
        <v>520</v>
      </c>
      <c r="G84" s="1">
        <v>0</v>
      </c>
      <c r="H84" s="13">
        <v>44103</v>
      </c>
      <c r="AA84" s="11"/>
      <c r="AF84" s="38"/>
      <c r="AG84" s="1"/>
      <c r="AH84" s="13"/>
    </row>
    <row r="85" spans="1:34" x14ac:dyDescent="0.25">
      <c r="A85" s="11">
        <v>100081</v>
      </c>
      <c r="B85" s="7" t="s">
        <v>317</v>
      </c>
      <c r="C85" s="7" t="s">
        <v>320</v>
      </c>
      <c r="D85" s="7" t="s">
        <v>318</v>
      </c>
      <c r="E85" s="7" t="s">
        <v>319</v>
      </c>
      <c r="F85" s="38" t="s">
        <v>521</v>
      </c>
      <c r="G85" s="1">
        <v>3000</v>
      </c>
      <c r="H85" s="13">
        <v>44104</v>
      </c>
      <c r="AA85" s="11"/>
      <c r="AF85" s="38"/>
      <c r="AG85" s="1"/>
      <c r="AH85" s="13"/>
    </row>
    <row r="86" spans="1:34" x14ac:dyDescent="0.25">
      <c r="A86" s="11">
        <v>100082</v>
      </c>
      <c r="B86" s="7" t="s">
        <v>321</v>
      </c>
      <c r="C86" s="7" t="s">
        <v>324</v>
      </c>
      <c r="D86" s="7" t="s">
        <v>322</v>
      </c>
      <c r="E86" s="7" t="s">
        <v>323</v>
      </c>
      <c r="F86" s="38" t="s">
        <v>522</v>
      </c>
      <c r="G86" s="1">
        <v>4500</v>
      </c>
      <c r="H86" s="13">
        <v>44105</v>
      </c>
      <c r="AA86" s="11"/>
      <c r="AF86" s="38"/>
      <c r="AG86" s="1"/>
      <c r="AH86" s="13"/>
    </row>
    <row r="87" spans="1:34" x14ac:dyDescent="0.25">
      <c r="A87" s="11">
        <v>100083</v>
      </c>
      <c r="B87" s="7" t="s">
        <v>325</v>
      </c>
      <c r="C87" s="7" t="s">
        <v>328</v>
      </c>
      <c r="D87" s="7" t="s">
        <v>326</v>
      </c>
      <c r="E87" s="7" t="s">
        <v>327</v>
      </c>
      <c r="F87" s="38" t="s">
        <v>523</v>
      </c>
      <c r="G87" s="1">
        <v>2000</v>
      </c>
      <c r="H87" s="13">
        <v>44106</v>
      </c>
      <c r="AA87" s="11"/>
      <c r="AF87" s="38"/>
      <c r="AG87" s="1"/>
      <c r="AH87" s="13"/>
    </row>
    <row r="88" spans="1:34" x14ac:dyDescent="0.25">
      <c r="A88" s="11">
        <v>100084</v>
      </c>
      <c r="B88" s="7" t="s">
        <v>329</v>
      </c>
      <c r="C88" s="7" t="s">
        <v>332</v>
      </c>
      <c r="D88" s="7" t="s">
        <v>330</v>
      </c>
      <c r="E88" s="7" t="s">
        <v>331</v>
      </c>
      <c r="F88" s="38" t="s">
        <v>476</v>
      </c>
      <c r="G88" s="1">
        <v>3500</v>
      </c>
      <c r="H88" s="13">
        <v>44107</v>
      </c>
      <c r="AA88" s="11"/>
      <c r="AF88" s="38"/>
      <c r="AG88" s="1"/>
      <c r="AH88" s="13"/>
    </row>
    <row r="89" spans="1:34" x14ac:dyDescent="0.25">
      <c r="A89" s="11">
        <v>100085</v>
      </c>
      <c r="B89" s="7" t="s">
        <v>333</v>
      </c>
      <c r="C89" s="7" t="s">
        <v>336</v>
      </c>
      <c r="D89" s="7" t="s">
        <v>334</v>
      </c>
      <c r="E89" s="7" t="s">
        <v>335</v>
      </c>
      <c r="F89" s="38" t="s">
        <v>524</v>
      </c>
      <c r="G89" s="1">
        <v>2500</v>
      </c>
      <c r="H89" s="13">
        <v>44108</v>
      </c>
      <c r="AA89" s="11"/>
      <c r="AF89" s="38"/>
      <c r="AG89" s="1"/>
      <c r="AH89" s="13"/>
    </row>
    <row r="90" spans="1:34" x14ac:dyDescent="0.25">
      <c r="A90" s="11">
        <v>100086</v>
      </c>
      <c r="B90" s="7" t="s">
        <v>420</v>
      </c>
      <c r="C90" s="7" t="s">
        <v>339</v>
      </c>
      <c r="D90" s="7" t="s">
        <v>337</v>
      </c>
      <c r="E90" s="7" t="s">
        <v>338</v>
      </c>
      <c r="F90" s="38" t="s">
        <v>525</v>
      </c>
      <c r="G90" s="1">
        <v>1500</v>
      </c>
      <c r="H90" s="13">
        <v>44109</v>
      </c>
      <c r="AA90" s="11"/>
      <c r="AF90" s="38"/>
      <c r="AG90" s="1"/>
      <c r="AH90" s="13"/>
    </row>
    <row r="91" spans="1:34" x14ac:dyDescent="0.25">
      <c r="A91" s="11">
        <v>100087</v>
      </c>
      <c r="B91" s="7" t="s">
        <v>421</v>
      </c>
      <c r="C91" s="7" t="s">
        <v>342</v>
      </c>
      <c r="D91" s="7" t="s">
        <v>340</v>
      </c>
      <c r="E91" s="7" t="s">
        <v>341</v>
      </c>
      <c r="F91" s="38" t="s">
        <v>526</v>
      </c>
      <c r="G91" s="1">
        <v>3500</v>
      </c>
      <c r="H91" s="13">
        <v>44110</v>
      </c>
      <c r="AA91" s="11"/>
      <c r="AF91" s="38"/>
      <c r="AG91" s="1"/>
      <c r="AH91" s="13"/>
    </row>
    <row r="92" spans="1:34" x14ac:dyDescent="0.25">
      <c r="A92" s="11">
        <v>100088</v>
      </c>
      <c r="B92" s="7" t="s">
        <v>390</v>
      </c>
      <c r="C92" s="7" t="s">
        <v>344</v>
      </c>
      <c r="D92" s="7" t="s">
        <v>200</v>
      </c>
      <c r="E92" s="7" t="s">
        <v>343</v>
      </c>
      <c r="F92" s="38" t="s">
        <v>520</v>
      </c>
      <c r="G92" s="1">
        <v>4000</v>
      </c>
      <c r="H92" s="13">
        <v>44111</v>
      </c>
      <c r="AA92" s="11"/>
      <c r="AF92" s="38"/>
      <c r="AG92" s="1"/>
      <c r="AH92" s="13"/>
    </row>
    <row r="93" spans="1:34" x14ac:dyDescent="0.25">
      <c r="A93" s="11">
        <v>100089</v>
      </c>
      <c r="B93" s="7" t="s">
        <v>345</v>
      </c>
      <c r="C93" s="7" t="s">
        <v>347</v>
      </c>
      <c r="D93" s="7" t="s">
        <v>346</v>
      </c>
      <c r="E93" s="7" t="s">
        <v>150</v>
      </c>
      <c r="F93" s="38" t="s">
        <v>527</v>
      </c>
      <c r="G93" s="1">
        <v>2500</v>
      </c>
      <c r="H93" s="13">
        <v>44112</v>
      </c>
      <c r="AA93" s="11"/>
      <c r="AF93" s="38"/>
      <c r="AG93" s="1"/>
      <c r="AH93" s="13"/>
    </row>
    <row r="94" spans="1:34" x14ac:dyDescent="0.25">
      <c r="A94" s="11">
        <v>100090</v>
      </c>
      <c r="B94" s="7" t="s">
        <v>422</v>
      </c>
      <c r="C94" s="7" t="s">
        <v>350</v>
      </c>
      <c r="D94" s="7" t="s">
        <v>348</v>
      </c>
      <c r="E94" s="7" t="s">
        <v>349</v>
      </c>
      <c r="F94" s="38" t="s">
        <v>528</v>
      </c>
      <c r="G94" s="1">
        <v>2500</v>
      </c>
      <c r="H94" s="13">
        <v>44113</v>
      </c>
      <c r="AA94" s="11"/>
      <c r="AF94" s="38"/>
      <c r="AG94" s="1"/>
      <c r="AH94" s="13"/>
    </row>
    <row r="95" spans="1:34" x14ac:dyDescent="0.25">
      <c r="A95" s="11">
        <v>100091</v>
      </c>
      <c r="B95" s="7" t="s">
        <v>351</v>
      </c>
      <c r="C95" s="7" t="s">
        <v>354</v>
      </c>
      <c r="D95" s="7" t="s">
        <v>352</v>
      </c>
      <c r="E95" s="7" t="s">
        <v>353</v>
      </c>
      <c r="F95" s="38" t="s">
        <v>529</v>
      </c>
      <c r="G95" s="1">
        <v>3500</v>
      </c>
      <c r="H95" s="13">
        <v>44114</v>
      </c>
      <c r="AA95" s="11"/>
      <c r="AF95" s="38"/>
      <c r="AG95" s="1"/>
      <c r="AH95" s="13"/>
    </row>
    <row r="96" spans="1:34" x14ac:dyDescent="0.25">
      <c r="A96" s="11">
        <v>100092</v>
      </c>
      <c r="B96" s="7" t="s">
        <v>355</v>
      </c>
      <c r="C96" s="7" t="s">
        <v>358</v>
      </c>
      <c r="D96" s="7" t="s">
        <v>356</v>
      </c>
      <c r="E96" s="7" t="s">
        <v>357</v>
      </c>
      <c r="F96" s="38" t="s">
        <v>530</v>
      </c>
      <c r="G96" s="1">
        <v>0</v>
      </c>
      <c r="H96" s="13">
        <v>44115</v>
      </c>
      <c r="AA96" s="11"/>
      <c r="AF96" s="38"/>
      <c r="AG96" s="1"/>
      <c r="AH96" s="13"/>
    </row>
    <row r="97" spans="1:34" x14ac:dyDescent="0.25">
      <c r="A97" s="11">
        <v>100093</v>
      </c>
      <c r="B97" s="7" t="s">
        <v>359</v>
      </c>
      <c r="C97" s="7" t="s">
        <v>362</v>
      </c>
      <c r="D97" s="7" t="s">
        <v>360</v>
      </c>
      <c r="E97" s="7" t="s">
        <v>361</v>
      </c>
      <c r="F97" s="38" t="s">
        <v>501</v>
      </c>
      <c r="G97" s="1">
        <v>1000</v>
      </c>
      <c r="H97" s="13">
        <v>44116</v>
      </c>
      <c r="AA97" s="11"/>
      <c r="AF97" s="38"/>
      <c r="AG97" s="1"/>
      <c r="AH97" s="13"/>
    </row>
    <row r="98" spans="1:34" x14ac:dyDescent="0.25">
      <c r="A98" s="11">
        <v>100094</v>
      </c>
      <c r="B98" s="7" t="s">
        <v>363</v>
      </c>
      <c r="C98" s="7" t="s">
        <v>366</v>
      </c>
      <c r="D98" s="7" t="s">
        <v>364</v>
      </c>
      <c r="E98" s="7" t="s">
        <v>365</v>
      </c>
      <c r="F98" s="38" t="s">
        <v>531</v>
      </c>
      <c r="G98" s="1">
        <v>1500</v>
      </c>
      <c r="H98" s="13">
        <v>44117</v>
      </c>
      <c r="AA98" s="11"/>
      <c r="AF98" s="38"/>
      <c r="AG98" s="1"/>
      <c r="AH98" s="13"/>
    </row>
    <row r="99" spans="1:34" x14ac:dyDescent="0.25">
      <c r="A99" s="11">
        <v>100095</v>
      </c>
      <c r="B99" s="7" t="s">
        <v>367</v>
      </c>
      <c r="C99" s="7" t="s">
        <v>370</v>
      </c>
      <c r="D99" s="7" t="s">
        <v>368</v>
      </c>
      <c r="E99" s="7" t="s">
        <v>369</v>
      </c>
      <c r="F99" s="38" t="s">
        <v>532</v>
      </c>
      <c r="G99" s="1">
        <v>3000</v>
      </c>
      <c r="H99" s="13">
        <v>44118</v>
      </c>
      <c r="AA99" s="11"/>
      <c r="AF99" s="38"/>
      <c r="AG99" s="1"/>
      <c r="AH99" s="13"/>
    </row>
    <row r="100" spans="1:34" x14ac:dyDescent="0.25">
      <c r="A100" s="11">
        <v>100096</v>
      </c>
      <c r="B100" s="7" t="s">
        <v>371</v>
      </c>
      <c r="C100" s="7" t="s">
        <v>374</v>
      </c>
      <c r="D100" s="7" t="s">
        <v>372</v>
      </c>
      <c r="E100" s="7" t="s">
        <v>373</v>
      </c>
      <c r="F100" s="38" t="s">
        <v>533</v>
      </c>
      <c r="G100" s="1">
        <v>1500</v>
      </c>
      <c r="H100" s="13">
        <v>44119</v>
      </c>
      <c r="AA100" s="11"/>
      <c r="AF100" s="38"/>
      <c r="AG100" s="1"/>
      <c r="AH100" s="13"/>
    </row>
    <row r="101" spans="1:34" x14ac:dyDescent="0.25">
      <c r="A101" s="11">
        <v>100097</v>
      </c>
      <c r="B101" s="7" t="s">
        <v>391</v>
      </c>
      <c r="C101" s="7" t="s">
        <v>377</v>
      </c>
      <c r="D101" s="7" t="s">
        <v>375</v>
      </c>
      <c r="E101" s="7" t="s">
        <v>376</v>
      </c>
      <c r="F101" s="38" t="s">
        <v>534</v>
      </c>
      <c r="G101" s="1">
        <v>2500</v>
      </c>
      <c r="H101" s="13">
        <v>44120</v>
      </c>
      <c r="AA101" s="11"/>
      <c r="AF101" s="38"/>
      <c r="AG101" s="1"/>
      <c r="AH101" s="13"/>
    </row>
    <row r="102" spans="1:34" x14ac:dyDescent="0.25">
      <c r="A102" s="11">
        <v>100098</v>
      </c>
      <c r="B102" s="7" t="s">
        <v>378</v>
      </c>
      <c r="C102" s="7" t="s">
        <v>381</v>
      </c>
      <c r="D102" s="7" t="s">
        <v>379</v>
      </c>
      <c r="E102" s="7" t="s">
        <v>380</v>
      </c>
      <c r="F102" s="38" t="s">
        <v>535</v>
      </c>
      <c r="G102" s="1">
        <v>1000</v>
      </c>
      <c r="H102" s="13">
        <v>44121</v>
      </c>
      <c r="AA102" s="11"/>
      <c r="AF102" s="38"/>
      <c r="AG102" s="1"/>
      <c r="AH102" s="13"/>
    </row>
    <row r="103" spans="1:34" x14ac:dyDescent="0.25">
      <c r="A103" s="11">
        <v>100099</v>
      </c>
      <c r="B103" s="7" t="s">
        <v>382</v>
      </c>
      <c r="C103" s="7" t="s">
        <v>385</v>
      </c>
      <c r="D103" s="7" t="s">
        <v>383</v>
      </c>
      <c r="E103" s="7" t="s">
        <v>384</v>
      </c>
      <c r="F103" s="38" t="s">
        <v>523</v>
      </c>
      <c r="G103" s="1">
        <v>500</v>
      </c>
      <c r="H103" s="13">
        <v>44122</v>
      </c>
    </row>
  </sheetData>
  <mergeCells count="3">
    <mergeCell ref="A1:H1"/>
    <mergeCell ref="AA1:AH1"/>
    <mergeCell ref="O1:V1"/>
  </mergeCells>
  <conditionalFormatting sqref="A4:H103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Filters</vt:lpstr>
      <vt:lpstr>Data</vt:lpstr>
      <vt:lpstr>Sheet3</vt:lpstr>
      <vt:lpstr>Data!Criteria</vt:lpstr>
      <vt:lpstr>CustHeader</vt:lpstr>
      <vt:lpstr>Date</vt:lpstr>
      <vt:lpstr>Data!Extract</vt:lpstr>
      <vt:lpstr>Number</vt:lpstr>
      <vt:lpstr>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lenovo</cp:lastModifiedBy>
  <dcterms:created xsi:type="dcterms:W3CDTF">2020-06-19T06:33:31Z</dcterms:created>
  <dcterms:modified xsi:type="dcterms:W3CDTF">2020-07-06T13:26:14Z</dcterms:modified>
</cp:coreProperties>
</file>