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45" windowWidth="27795" windowHeight="12855"/>
  </bookViews>
  <sheets>
    <sheet name="Income Statement" sheetId="1" r:id="rId1"/>
    <sheet name="Transactions" sheetId="2" r:id="rId2"/>
  </sheets>
  <definedNames>
    <definedName name="_xlnm._FilterDatabase" localSheetId="1" hidden="1">Transactions!$AJ$2:$AN$93</definedName>
    <definedName name="_xlnm.Criteria" localSheetId="1">Transactions!$AC$2:$AC$3</definedName>
    <definedName name="DateRange">Transactions!$L$24:$L$30</definedName>
    <definedName name="_xlnm.Extract" localSheetId="1">Transactions!$AP$2:$AR$2</definedName>
    <definedName name="GrossProfit">Transactions!$Q$4</definedName>
    <definedName name="NetProfit">Transactions!$Q$6</definedName>
    <definedName name="_xlnm.Print_Area" localSheetId="0">'Income Statement'!$D$5:$K$29</definedName>
    <definedName name="Results_Account">OFFSET(Transactions!$AK$2,1,,COUNTA(Transactions!$AK$2:$AK$9999)-1,1)</definedName>
    <definedName name="Results_Amount">OFFSET(Transactions!$AM$2,1,,COUNTA(Transactions!$AM$2:$AM$9999)-1,1)</definedName>
    <definedName name="TotCOGS">Transactions!$Q$3</definedName>
    <definedName name="TotExpenses">Transactions!$Q$5</definedName>
    <definedName name="TotIncome">Transactions!$Q$2</definedName>
    <definedName name="ZoomResults">OFFSET(Transactions!$AP$2,,,COUNTA(Transactions!$AP$2:$AP$999),3)</definedName>
  </definedNames>
  <calcPr calcId="145621"/>
</workbook>
</file>

<file path=xl/calcChain.xml><?xml version="1.0" encoding="utf-8"?>
<calcChain xmlns="http://schemas.openxmlformats.org/spreadsheetml/2006/main">
  <c r="AC3" i="2" l="1"/>
  <c r="B3" i="1"/>
  <c r="N3" i="2"/>
  <c r="D5" i="1"/>
  <c r="N30" i="2" l="1"/>
  <c r="M30" i="2"/>
  <c r="N29" i="2"/>
  <c r="M29" i="2"/>
  <c r="N28" i="2"/>
  <c r="M28" i="2"/>
  <c r="N27" i="2"/>
  <c r="M27" i="2"/>
  <c r="N26" i="2"/>
  <c r="M26" i="2"/>
  <c r="N25" i="2"/>
  <c r="M25" i="2"/>
  <c r="N24" i="2"/>
  <c r="M24" i="2"/>
  <c r="AB3" i="2" l="1"/>
  <c r="AA3" i="2"/>
  <c r="N8" i="2" l="1"/>
  <c r="N17" i="2"/>
  <c r="N16" i="2"/>
  <c r="N15" i="2"/>
  <c r="N14" i="2"/>
  <c r="N13" i="2"/>
  <c r="N12" i="2"/>
  <c r="N11" i="2"/>
  <c r="N10" i="2"/>
  <c r="N9" i="2"/>
  <c r="N7" i="2"/>
  <c r="N6" i="2"/>
  <c r="N5" i="2"/>
  <c r="N4" i="2"/>
  <c r="Q3" i="2" l="1"/>
  <c r="Q5" i="2"/>
  <c r="Q2" i="2"/>
  <c r="Q4" i="2" l="1"/>
  <c r="Q6" i="2" s="1"/>
</calcChain>
</file>

<file path=xl/sharedStrings.xml><?xml version="1.0" encoding="utf-8"?>
<sst xmlns="http://schemas.openxmlformats.org/spreadsheetml/2006/main" count="1477" uniqueCount="167">
  <si>
    <t>Income &amp; Expenses</t>
  </si>
  <si>
    <t>Accounts &amp; Types</t>
  </si>
  <si>
    <t>Advanced Filter Criteria</t>
  </si>
  <si>
    <t>Advanced Filter Results</t>
  </si>
  <si>
    <t>Transaction Date</t>
  </si>
  <si>
    <t>Account</t>
  </si>
  <si>
    <t>Description</t>
  </si>
  <si>
    <t>Amount</t>
  </si>
  <si>
    <t>Account Type</t>
  </si>
  <si>
    <t>Account Name</t>
  </si>
  <si>
    <t>Type</t>
  </si>
  <si>
    <t>Income</t>
  </si>
  <si>
    <t>Materials Sold</t>
  </si>
  <si>
    <t>Materials Sold for Job #1252</t>
  </si>
  <si>
    <t>COGS</t>
  </si>
  <si>
    <t>Labor Sold</t>
  </si>
  <si>
    <t>Labor Earned for Job #1252</t>
  </si>
  <si>
    <t>Gross Profit</t>
  </si>
  <si>
    <t>Interest Earned</t>
  </si>
  <si>
    <t>Bank Interest Earned</t>
  </si>
  <si>
    <t>Expense</t>
  </si>
  <si>
    <t>Dividend Earned</t>
  </si>
  <si>
    <t>Dividend From XYZ Company</t>
  </si>
  <si>
    <t>Net Profit</t>
  </si>
  <si>
    <t>Materials Purchased</t>
  </si>
  <si>
    <t>Materials Purchased for Job #1252</t>
  </si>
  <si>
    <t>Technician Labor</t>
  </si>
  <si>
    <t>Tech Labor Earned for Job #1252</t>
  </si>
  <si>
    <t>Technician Fuel</t>
  </si>
  <si>
    <t>Gas for Various Jobs</t>
  </si>
  <si>
    <t>Materials Sold for Job #1253</t>
  </si>
  <si>
    <t>Tools Purchased</t>
  </si>
  <si>
    <t>Tools Purchased for Job #1252</t>
  </si>
  <si>
    <t>Materials Sold for Job #1254</t>
  </si>
  <si>
    <t>Office Lease</t>
  </si>
  <si>
    <t>Monthly Office Lease</t>
  </si>
  <si>
    <t>Materials Sold for Job #1255</t>
  </si>
  <si>
    <t>Uniform Costs</t>
  </si>
  <si>
    <t>Purchsed New Uniforms</t>
  </si>
  <si>
    <t>Materials Sold for Job #1256</t>
  </si>
  <si>
    <t>Office Supplies</t>
  </si>
  <si>
    <t>Paper and Printer Ink</t>
  </si>
  <si>
    <t>Materials Sold for Job #1257</t>
  </si>
  <si>
    <t>Federal Taxes</t>
  </si>
  <si>
    <t>Fed Taxes Paid</t>
  </si>
  <si>
    <t>Materials Sold for Job #1258</t>
  </si>
  <si>
    <t>Staff Meals</t>
  </si>
  <si>
    <t>Weekly Lunch Party</t>
  </si>
  <si>
    <t>Materials Sold for Job #1259</t>
  </si>
  <si>
    <t>Office Utilities</t>
  </si>
  <si>
    <t>Electricity</t>
  </si>
  <si>
    <t>Materials Sold for Job #1260</t>
  </si>
  <si>
    <t>Equipment</t>
  </si>
  <si>
    <t>Misc. Equipment Purchased</t>
  </si>
  <si>
    <t>Materials Sold for Job #1261</t>
  </si>
  <si>
    <t>Materials Sold for Job #1262</t>
  </si>
  <si>
    <t>Materials Sold for Job #1263</t>
  </si>
  <si>
    <t>Materials Sold for Job #1264</t>
  </si>
  <si>
    <t>Materials Sold for Job #1265</t>
  </si>
  <si>
    <t>Materials Sold for Job #1266</t>
  </si>
  <si>
    <t>Materials Sold for Job #1267</t>
  </si>
  <si>
    <t>Materials Sold for Job #1268</t>
  </si>
  <si>
    <t>Materials Sold for Job #1269</t>
  </si>
  <si>
    <t>Materials Sold for Job #1270</t>
  </si>
  <si>
    <t>Materials Sold for Job #1271</t>
  </si>
  <si>
    <t>Labor Earned for Job #1253</t>
  </si>
  <si>
    <t>Materials Purchased for Job #1253</t>
  </si>
  <si>
    <t>Tech Labor Earned for Job #1253</t>
  </si>
  <si>
    <t>Tools Purchased for Job #1253</t>
  </si>
  <si>
    <t>Labor Earned for Job #1254</t>
  </si>
  <si>
    <t>Materials Purchased for Job #1254</t>
  </si>
  <si>
    <t>Tech Labor Earned for Job #1254</t>
  </si>
  <si>
    <t>Tools Purchased for Job #1254</t>
  </si>
  <si>
    <t>Labor Earned for Job #1255</t>
  </si>
  <si>
    <t>Materials Purchased for Job #1255</t>
  </si>
  <si>
    <t>Tech Labor Earned for Job #1255</t>
  </si>
  <si>
    <t>Tools Purchased for Job #1255</t>
  </si>
  <si>
    <t>Labor Earned for Job #1256</t>
  </si>
  <si>
    <t>Materials Purchased for Job #1256</t>
  </si>
  <si>
    <t>Tech Labor Earned for Job #1256</t>
  </si>
  <si>
    <t>Tools Purchased for Job #1256</t>
  </si>
  <si>
    <t>Labor Earned for Job #1257</t>
  </si>
  <si>
    <t>Materials Purchased for Job #1257</t>
  </si>
  <si>
    <t>Tech Labor Earned for Job #1257</t>
  </si>
  <si>
    <t>Tools Purchased for Job #1257</t>
  </si>
  <si>
    <t>Labor Earned for Job #1258</t>
  </si>
  <si>
    <t>Materials Purchased for Job #1258</t>
  </si>
  <si>
    <t>Tech Labor Earned for Job #1258</t>
  </si>
  <si>
    <t>Tools Purchased for Job #1258</t>
  </si>
  <si>
    <t>Labor Earned for Job #1259</t>
  </si>
  <si>
    <t>Materials Purchased for Job #1259</t>
  </si>
  <si>
    <t>Tech Labor Earned for Job #1259</t>
  </si>
  <si>
    <t>Tools Purchased for Job #1259</t>
  </si>
  <si>
    <t>Labor Earned for Job #1260</t>
  </si>
  <si>
    <t>Materials Purchased for Job #1260</t>
  </si>
  <si>
    <t>Tech Labor Earned for Job #1260</t>
  </si>
  <si>
    <t>Tools Purchased for Job #1260</t>
  </si>
  <si>
    <t>Labor Earned for Job #1261</t>
  </si>
  <si>
    <t>Materials Purchased for Job #1261</t>
  </si>
  <si>
    <t>Tech Labor Earned for Job #1261</t>
  </si>
  <si>
    <t>Tools Purchased for Job #1261</t>
  </si>
  <si>
    <t>Labor Earned for Job #1262</t>
  </si>
  <si>
    <t>Materials Purchased for Job #1262</t>
  </si>
  <si>
    <t>Tech Labor Earned for Job #1262</t>
  </si>
  <si>
    <t>Tools Purchased for Job #1262</t>
  </si>
  <si>
    <t>Labor Earned for Job #1263</t>
  </si>
  <si>
    <t>Materials Purchased for Job #1263</t>
  </si>
  <si>
    <t>Tech Labor Earned for Job #1263</t>
  </si>
  <si>
    <t>Tools Purchased for Job #1263</t>
  </si>
  <si>
    <t>Labor Earned for Job #1264</t>
  </si>
  <si>
    <t>Materials Purchased for Job #1264</t>
  </si>
  <si>
    <t>Tech Labor Earned for Job #1264</t>
  </si>
  <si>
    <t>Tools Purchased for Job #1264</t>
  </si>
  <si>
    <t>Labor Earned for Job #1265</t>
  </si>
  <si>
    <t>Materials Purchased for Job #1265</t>
  </si>
  <si>
    <t>Tech Labor Earned for Job #1265</t>
  </si>
  <si>
    <t>Tools Purchased for Job #1265</t>
  </si>
  <si>
    <t>Labor Earned for Job #1266</t>
  </si>
  <si>
    <t>Materials Purchased for Job #1266</t>
  </si>
  <si>
    <t>Tech Labor Earned for Job #1266</t>
  </si>
  <si>
    <t>Tools Purchased for Job #1266</t>
  </si>
  <si>
    <t>Labor Earned for Job #1267</t>
  </si>
  <si>
    <t>Materials Purchased for Job #1267</t>
  </si>
  <si>
    <t>Tech Labor Earned for Job #1267</t>
  </si>
  <si>
    <t>Tools Purchased for Job #1267</t>
  </si>
  <si>
    <t>Labor Earned for Job #1268</t>
  </si>
  <si>
    <t>Materials Purchased for Job #1268</t>
  </si>
  <si>
    <t>Tech Labor Earned for Job #1268</t>
  </si>
  <si>
    <t>Tools Purchased for Job #1268</t>
  </si>
  <si>
    <t>Labor Earned for Job #1269</t>
  </si>
  <si>
    <t>Materials Purchased for Job #1269</t>
  </si>
  <si>
    <t>Tech Labor Earned for Job #1269</t>
  </si>
  <si>
    <t>Tools Purchased for Job #1269</t>
  </si>
  <si>
    <t>Labor Earned for Job #1270</t>
  </si>
  <si>
    <t>Materials Purchased for Job #1270</t>
  </si>
  <si>
    <t>Tech Labor Earned for Job #1270</t>
  </si>
  <si>
    <t>Tools Purchased for Job #1270</t>
  </si>
  <si>
    <t>Labor Earned for Job #1271</t>
  </si>
  <si>
    <t>Materials Purchased for Job #1271</t>
  </si>
  <si>
    <t>Total Income</t>
  </si>
  <si>
    <t>Total COGS</t>
  </si>
  <si>
    <t>Total Gross Profit</t>
  </si>
  <si>
    <t>Total Expenses</t>
  </si>
  <si>
    <t>Total Net Profit</t>
  </si>
  <si>
    <t>From:</t>
  </si>
  <si>
    <t>To:</t>
  </si>
  <si>
    <t>Summary &amp; Totals</t>
  </si>
  <si>
    <t>Results Sum</t>
  </si>
  <si>
    <t>ZOOM IN ON HOVER</t>
  </si>
  <si>
    <t>Sel. Row</t>
  </si>
  <si>
    <t>Date Range</t>
  </si>
  <si>
    <t>From</t>
  </si>
  <si>
    <t>To</t>
  </si>
  <si>
    <t>This Month</t>
  </si>
  <si>
    <t>This Year</t>
  </si>
  <si>
    <t>Last Year</t>
  </si>
  <si>
    <t>Date Range List</t>
  </si>
  <si>
    <t>ZOOM IN RESULTS</t>
  </si>
  <si>
    <t>1st Quarter</t>
  </si>
  <si>
    <t>2nd Quarter</t>
  </si>
  <si>
    <t>3rd Quarter</t>
  </si>
  <si>
    <t>4th Quarter</t>
  </si>
  <si>
    <t>INCOME STATEMENT</t>
  </si>
  <si>
    <t>Date Range:</t>
  </si>
  <si>
    <t>Date Range Row</t>
  </si>
  <si>
    <t>Date Range Change</t>
  </si>
  <si>
    <t>Expenses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</si>
</sst>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7" formatCode="&quot;$&quot;#,##0.00_);\(&quot;$&quot;#,##0.00\)"/>
    <numFmt numFmtId="44" formatCode="_(&quot;$&quot;* #,##0.00_);_(&quot;$&quot;* \(#,##0.00\);_(&quot;$&quot;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0"/>
      <color theme="1"/>
      <name val="Cambria"/>
      <family val="1"/>
      <scheme val="maj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6"/>
      <color theme="4" tint="-0.249977111117893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6"/>
      <color theme="4" tint="-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gradientFill degree="90">
        <stop position="0">
          <color theme="4" tint="-0.49803155613879818"/>
        </stop>
        <stop position="1">
          <color theme="4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DFDFD"/>
        <bgColor indexed="64"/>
      </patternFill>
    </fill>
  </fills>
  <borders count="39">
    <border>
      <left/>
      <right/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hair">
        <color theme="4" tint="-0.499984740745262"/>
      </right>
      <top/>
      <bottom/>
      <diagonal/>
    </border>
    <border>
      <left style="hair">
        <color theme="4" tint="-0.499984740745262"/>
      </left>
      <right style="medium">
        <color theme="4" tint="-0.499984740745262"/>
      </right>
      <top/>
      <bottom/>
      <diagonal/>
    </border>
    <border>
      <left style="medium">
        <color theme="4" tint="-0.499984740745262"/>
      </left>
      <right style="hair">
        <color theme="4" tint="-0.499984740745262"/>
      </right>
      <top/>
      <bottom style="medium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/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/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hair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hair">
        <color theme="4" tint="-0.499984740745262"/>
      </left>
      <right style="medium">
        <color theme="4" tint="-0.499984740745262"/>
      </right>
      <top style="thin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 style="thin">
        <color theme="4" tint="-0.499984740745262"/>
      </right>
      <top style="thin">
        <color theme="4" tint="-0.499984740745262"/>
      </top>
      <bottom/>
      <diagonal/>
    </border>
    <border>
      <left style="thin">
        <color theme="4" tint="-0.499984740745262"/>
      </left>
      <right style="medium">
        <color theme="4" tint="-0.499984740745262"/>
      </right>
      <top style="thin">
        <color theme="4" tint="-0.499984740745262"/>
      </top>
      <bottom/>
      <diagonal/>
    </border>
    <border>
      <left style="medium">
        <color theme="4" tint="-0.499984740745262"/>
      </left>
      <right style="thin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thin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/>
      <diagonal/>
    </border>
    <border>
      <left/>
      <right/>
      <top style="medium">
        <color theme="4" tint="-0.499984740745262"/>
      </top>
      <bottom/>
      <diagonal/>
    </border>
    <border>
      <left/>
      <right style="medium">
        <color theme="4" tint="-0.499984740745262"/>
      </right>
      <top style="medium">
        <color theme="4" tint="-0.499984740745262"/>
      </top>
      <bottom/>
      <diagonal/>
    </border>
    <border>
      <left style="hair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 style="medium">
        <color theme="4" tint="-0.499984740745262"/>
      </top>
      <bottom style="thin">
        <color theme="4" tint="-0.499984740745262"/>
      </bottom>
      <diagonal/>
    </border>
    <border>
      <left/>
      <right/>
      <top style="medium">
        <color theme="4" tint="-0.499984740745262"/>
      </top>
      <bottom style="thin">
        <color theme="4" tint="-0.499984740745262"/>
      </bottom>
      <diagonal/>
    </border>
    <border>
      <left style="medium">
        <color theme="4" tint="-0.499984740745262"/>
      </left>
      <right/>
      <top/>
      <bottom style="thin">
        <color theme="4" tint="-0.499984740745262"/>
      </bottom>
      <diagonal/>
    </border>
    <border>
      <left/>
      <right/>
      <top/>
      <bottom style="thin">
        <color theme="4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-0.499984740745262"/>
      </left>
      <right style="hair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hair">
        <color theme="4" tint="-0.499984740745262"/>
      </left>
      <right/>
      <top style="thin">
        <color theme="4" tint="-0.499984740745262"/>
      </top>
      <bottom style="thin">
        <color theme="4" tint="-0.499984740745262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92">
    <xf numFmtId="0" fontId="0" fillId="0" borderId="0" xfId="0"/>
    <xf numFmtId="16" fontId="0" fillId="0" borderId="0" xfId="0" applyNumberFormat="1"/>
    <xf numFmtId="0" fontId="0" fillId="0" borderId="0" xfId="0" applyBorder="1"/>
    <xf numFmtId="14" fontId="0" fillId="0" borderId="0" xfId="0" applyNumberFormat="1" applyBorder="1" applyAlignment="1">
      <alignment horizontal="center"/>
    </xf>
    <xf numFmtId="14" fontId="0" fillId="0" borderId="0" xfId="0" applyNumberFormat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44" fontId="0" fillId="0" borderId="0" xfId="1" applyFont="1"/>
    <xf numFmtId="14" fontId="0" fillId="0" borderId="1" xfId="0" applyNumberFormat="1" applyBorder="1" applyAlignment="1">
      <alignment horizontal="center"/>
    </xf>
    <xf numFmtId="14" fontId="0" fillId="0" borderId="2" xfId="0" applyNumberFormat="1" applyBorder="1"/>
    <xf numFmtId="0" fontId="0" fillId="0" borderId="2" xfId="0" applyBorder="1" applyAlignment="1">
      <alignment horizontal="left"/>
    </xf>
    <xf numFmtId="44" fontId="0" fillId="0" borderId="2" xfId="1" applyFont="1" applyBorder="1"/>
    <xf numFmtId="44" fontId="0" fillId="0" borderId="3" xfId="1" applyFont="1" applyBorder="1" applyAlignment="1">
      <alignment horizontal="center"/>
    </xf>
    <xf numFmtId="0" fontId="0" fillId="0" borderId="2" xfId="0" applyBorder="1"/>
    <xf numFmtId="0" fontId="0" fillId="0" borderId="3" xfId="0" applyBorder="1" applyAlignment="1">
      <alignment horizontal="center"/>
    </xf>
    <xf numFmtId="44" fontId="0" fillId="0" borderId="2" xfId="1" applyFont="1" applyBorder="1" applyAlignment="1">
      <alignment horizontal="center"/>
    </xf>
    <xf numFmtId="14" fontId="0" fillId="0" borderId="4" xfId="0" applyNumberFormat="1" applyBorder="1" applyAlignment="1">
      <alignment horizontal="center"/>
    </xf>
    <xf numFmtId="14" fontId="0" fillId="0" borderId="5" xfId="0" applyNumberFormat="1" applyBorder="1"/>
    <xf numFmtId="0" fontId="0" fillId="0" borderId="5" xfId="0" applyBorder="1" applyAlignment="1">
      <alignment horizontal="left"/>
    </xf>
    <xf numFmtId="44" fontId="0" fillId="0" borderId="5" xfId="1" applyFont="1" applyBorder="1"/>
    <xf numFmtId="44" fontId="0" fillId="0" borderId="6" xfId="1" applyFont="1" applyBorder="1" applyAlignment="1">
      <alignment horizontal="center"/>
    </xf>
    <xf numFmtId="14" fontId="2" fillId="4" borderId="10" xfId="0" applyNumberFormat="1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44" fontId="2" fillId="4" borderId="11" xfId="1" applyFont="1" applyFill="1" applyBorder="1" applyAlignment="1">
      <alignment horizontal="center"/>
    </xf>
    <xf numFmtId="44" fontId="2" fillId="4" borderId="12" xfId="1" applyFont="1" applyFill="1" applyBorder="1" applyAlignment="1">
      <alignment horizontal="center"/>
    </xf>
    <xf numFmtId="0" fontId="0" fillId="0" borderId="10" xfId="0" applyBorder="1"/>
    <xf numFmtId="0" fontId="0" fillId="0" borderId="11" xfId="0" applyBorder="1" applyAlignment="1">
      <alignment horizontal="left"/>
    </xf>
    <xf numFmtId="44" fontId="0" fillId="0" borderId="12" xfId="1" applyFont="1" applyBorder="1"/>
    <xf numFmtId="0" fontId="0" fillId="0" borderId="11" xfId="1" applyNumberFormat="1" applyFont="1" applyBorder="1" applyAlignment="1">
      <alignment horizontal="left"/>
    </xf>
    <xf numFmtId="0" fontId="0" fillId="0" borderId="21" xfId="0" applyBorder="1"/>
    <xf numFmtId="0" fontId="0" fillId="0" borderId="22" xfId="0" applyBorder="1" applyAlignment="1">
      <alignment horizontal="left"/>
    </xf>
    <xf numFmtId="44" fontId="0" fillId="0" borderId="23" xfId="1" applyFont="1" applyBorder="1"/>
    <xf numFmtId="0" fontId="2" fillId="4" borderId="16" xfId="0" applyFont="1" applyFill="1" applyBorder="1" applyAlignment="1">
      <alignment horizontal="center"/>
    </xf>
    <xf numFmtId="0" fontId="2" fillId="4" borderId="17" xfId="0" applyFont="1" applyFill="1" applyBorder="1" applyAlignment="1">
      <alignment horizontal="center"/>
    </xf>
    <xf numFmtId="0" fontId="2" fillId="4" borderId="18" xfId="0" applyFont="1" applyFill="1" applyBorder="1" applyAlignment="1">
      <alignment horizontal="center"/>
    </xf>
    <xf numFmtId="0" fontId="0" fillId="2" borderId="16" xfId="0" applyFill="1" applyBorder="1" applyAlignment="1">
      <alignment horizontal="right"/>
    </xf>
    <xf numFmtId="44" fontId="0" fillId="2" borderId="18" xfId="0" applyNumberFormat="1" applyFill="1" applyBorder="1"/>
    <xf numFmtId="0" fontId="0" fillId="2" borderId="24" xfId="0" applyFill="1" applyBorder="1" applyAlignment="1">
      <alignment horizontal="right"/>
    </xf>
    <xf numFmtId="44" fontId="0" fillId="2" borderId="25" xfId="0" applyNumberFormat="1" applyFill="1" applyBorder="1"/>
    <xf numFmtId="0" fontId="0" fillId="2" borderId="26" xfId="0" applyFill="1" applyBorder="1" applyAlignment="1">
      <alignment horizontal="right"/>
    </xf>
    <xf numFmtId="44" fontId="0" fillId="2" borderId="27" xfId="0" applyNumberFormat="1" applyFill="1" applyBorder="1"/>
    <xf numFmtId="0" fontId="4" fillId="0" borderId="0" xfId="0" applyFont="1"/>
    <xf numFmtId="0" fontId="0" fillId="6" borderId="0" xfId="0" applyFill="1"/>
    <xf numFmtId="14" fontId="0" fillId="0" borderId="0" xfId="0" applyNumberFormat="1"/>
    <xf numFmtId="0" fontId="0" fillId="4" borderId="16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14" fontId="0" fillId="0" borderId="19" xfId="0" applyNumberFormat="1" applyBorder="1" applyAlignment="1">
      <alignment horizontal="center"/>
    </xf>
    <xf numFmtId="14" fontId="0" fillId="0" borderId="20" xfId="0" applyNumberFormat="1" applyBorder="1" applyAlignment="1">
      <alignment horizontal="center"/>
    </xf>
    <xf numFmtId="0" fontId="0" fillId="0" borderId="20" xfId="0" applyBorder="1" applyAlignment="1">
      <alignment horizontal="center"/>
    </xf>
    <xf numFmtId="14" fontId="0" fillId="0" borderId="11" xfId="0" applyNumberFormat="1" applyBorder="1" applyAlignment="1">
      <alignment horizontal="center"/>
    </xf>
    <xf numFmtId="14" fontId="0" fillId="0" borderId="12" xfId="1" applyNumberFormat="1" applyFont="1" applyBorder="1" applyAlignment="1">
      <alignment horizontal="center"/>
    </xf>
    <xf numFmtId="14" fontId="0" fillId="0" borderId="11" xfId="1" applyNumberFormat="1" applyFont="1" applyBorder="1" applyAlignment="1">
      <alignment horizontal="center"/>
    </xf>
    <xf numFmtId="14" fontId="0" fillId="0" borderId="22" xfId="0" applyNumberFormat="1" applyBorder="1" applyAlignment="1">
      <alignment horizontal="center"/>
    </xf>
    <xf numFmtId="14" fontId="0" fillId="0" borderId="23" xfId="1" applyNumberFormat="1" applyFont="1" applyBorder="1" applyAlignment="1">
      <alignment horizontal="center"/>
    </xf>
    <xf numFmtId="0" fontId="0" fillId="6" borderId="0" xfId="0" applyFont="1" applyFill="1"/>
    <xf numFmtId="0" fontId="0" fillId="7" borderId="36" xfId="0" applyFont="1" applyFill="1" applyBorder="1"/>
    <xf numFmtId="0" fontId="0" fillId="7" borderId="36" xfId="0" applyFont="1" applyFill="1" applyBorder="1" applyAlignment="1">
      <alignment horizontal="left"/>
    </xf>
    <xf numFmtId="0" fontId="7" fillId="3" borderId="28" xfId="0" applyFont="1" applyFill="1" applyBorder="1" applyAlignment="1">
      <alignment horizontal="center"/>
    </xf>
    <xf numFmtId="0" fontId="7" fillId="3" borderId="29" xfId="0" applyFont="1" applyFill="1" applyBorder="1" applyAlignment="1">
      <alignment horizontal="center"/>
    </xf>
    <xf numFmtId="0" fontId="7" fillId="3" borderId="30" xfId="0" applyFont="1" applyFill="1" applyBorder="1" applyAlignment="1">
      <alignment horizontal="center"/>
    </xf>
    <xf numFmtId="0" fontId="3" fillId="3" borderId="32" xfId="0" applyFont="1" applyFill="1" applyBorder="1" applyAlignment="1">
      <alignment horizontal="center"/>
    </xf>
    <xf numFmtId="0" fontId="3" fillId="3" borderId="33" xfId="0" applyFont="1" applyFill="1" applyBorder="1" applyAlignment="1">
      <alignment horizontal="center"/>
    </xf>
    <xf numFmtId="0" fontId="3" fillId="3" borderId="34" xfId="0" applyFont="1" applyFill="1" applyBorder="1" applyAlignment="1">
      <alignment horizontal="center"/>
    </xf>
    <xf numFmtId="0" fontId="3" fillId="3" borderId="35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13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5" xfId="0" applyFont="1" applyFill="1" applyBorder="1" applyAlignment="1">
      <alignment horizontal="center"/>
    </xf>
    <xf numFmtId="0" fontId="0" fillId="0" borderId="0" xfId="0" applyFill="1"/>
    <xf numFmtId="0" fontId="4" fillId="0" borderId="0" xfId="0" applyFont="1" applyFill="1"/>
    <xf numFmtId="0" fontId="5" fillId="5" borderId="0" xfId="0" applyFon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0" fontId="0" fillId="2" borderId="0" xfId="0" applyFill="1" applyBorder="1"/>
    <xf numFmtId="14" fontId="0" fillId="8" borderId="31" xfId="0" applyNumberFormat="1" applyFill="1" applyBorder="1"/>
    <xf numFmtId="0" fontId="0" fillId="8" borderId="38" xfId="0" applyFill="1" applyBorder="1"/>
    <xf numFmtId="14" fontId="0" fillId="8" borderId="38" xfId="0" applyNumberFormat="1" applyFill="1" applyBorder="1"/>
    <xf numFmtId="0" fontId="0" fillId="2" borderId="37" xfId="0" applyFill="1" applyBorder="1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7" fontId="0" fillId="2" borderId="0" xfId="0" applyNumberFormat="1" applyFill="1"/>
    <xf numFmtId="0" fontId="0" fillId="0" borderId="0" xfId="0" applyNumberFormat="1"/>
    <xf numFmtId="0" fontId="0" fillId="9" borderId="0" xfId="0" applyFill="1" applyAlignment="1">
      <alignment horizontal="right"/>
    </xf>
    <xf numFmtId="0" fontId="0" fillId="9" borderId="0" xfId="0" applyFill="1"/>
    <xf numFmtId="7" fontId="0" fillId="9" borderId="0" xfId="0" applyNumberFormat="1" applyFill="1"/>
    <xf numFmtId="0" fontId="6" fillId="3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/>
    </xf>
    <xf numFmtId="0" fontId="8" fillId="4" borderId="0" xfId="0" applyFont="1" applyFill="1" applyBorder="1" applyAlignment="1">
      <alignment horizontal="center" vertical="center"/>
    </xf>
  </cellXfs>
  <cellStyles count="2">
    <cellStyle name="Currency" xfId="1" builtinId="4"/>
    <cellStyle name="Normal" xfId="0" builtinId="0"/>
  </cellStyles>
  <dxfs count="8">
    <dxf>
      <font>
        <b/>
        <i val="0"/>
      </font>
    </dxf>
    <dxf>
      <border>
        <top style="thin">
          <color rgb="FF92D050"/>
        </top>
        <bottom style="thin">
          <color rgb="FF92D050"/>
        </bottom>
        <vertical/>
        <horizontal/>
      </border>
    </dxf>
    <dxf>
      <font>
        <b/>
        <i val="0"/>
      </font>
      <fill>
        <patternFill>
          <bgColor theme="4" tint="0.39994506668294322"/>
        </patternFill>
      </fill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font>
        <b/>
        <i val="0"/>
      </font>
      <fill>
        <patternFill>
          <bgColor theme="5" tint="0.59996337778862885"/>
        </patternFill>
      </fill>
      <border>
        <top style="thin">
          <color theme="4" tint="-0.499984740745262"/>
        </top>
        <bottom style="thin">
          <color theme="4" tint="-0.499984740745262"/>
        </bottom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colors>
    <mruColors>
      <color rgb="FFFDFDFD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8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hyperlink" Target="http://bit.ly/MentorshipProgram_WkbkAd" TargetMode="External"/><Relationship Id="rId5" Type="http://schemas.openxmlformats.org/officeDocument/2006/relationships/image" Target="../media/image7.emf"/><Relationship Id="rId4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2114550</xdr:colOff>
      <xdr:row>0</xdr:row>
      <xdr:rowOff>19050</xdr:rowOff>
    </xdr:from>
    <xdr:to>
      <xdr:col>3</xdr:col>
      <xdr:colOff>676276</xdr:colOff>
      <xdr:row>1</xdr:row>
      <xdr:rowOff>171451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86175" y="19050"/>
          <a:ext cx="676276" cy="676276"/>
        </a:xfrm>
        <a:prstGeom prst="rect">
          <a:avLst/>
        </a:prstGeom>
      </xdr:spPr>
    </xdr:pic>
    <xdr:clientData/>
  </xdr:twoCellAnchor>
  <xdr:twoCellAnchor>
    <xdr:from>
      <xdr:col>10</xdr:col>
      <xdr:colOff>38100</xdr:colOff>
      <xdr:row>1</xdr:row>
      <xdr:rowOff>422662</xdr:rowOff>
    </xdr:from>
    <xdr:to>
      <xdr:col>10</xdr:col>
      <xdr:colOff>769620</xdr:colOff>
      <xdr:row>2</xdr:row>
      <xdr:rowOff>184537</xdr:rowOff>
    </xdr:to>
    <xdr:grpSp>
      <xdr:nvGrpSpPr>
        <xdr:cNvPr id="24" name="PrintBtn"/>
        <xdr:cNvGrpSpPr/>
      </xdr:nvGrpSpPr>
      <xdr:grpSpPr>
        <a:xfrm>
          <a:off x="8763000" y="946537"/>
          <a:ext cx="731520" cy="190500"/>
          <a:chOff x="9870831" y="963389"/>
          <a:chExt cx="731520" cy="190500"/>
        </a:xfrm>
      </xdr:grpSpPr>
      <xdr:sp macro="[0]!PrintReport" textlink="">
        <xdr:nvSpPr>
          <xdr:cNvPr id="22" name="Rounded Rectangle 21"/>
          <xdr:cNvSpPr/>
        </xdr:nvSpPr>
        <xdr:spPr>
          <a:xfrm>
            <a:off x="9870831" y="963389"/>
            <a:ext cx="731520" cy="1905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Print</a:t>
            </a:r>
          </a:p>
        </xdr:txBody>
      </xdr:sp>
      <xdr:pic macro="[0]!PrintReport">
        <xdr:nvPicPr>
          <xdr:cNvPr id="7" name="Picture 6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7006" y="967199"/>
            <a:ext cx="182880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14251</xdr:colOff>
      <xdr:row>1</xdr:row>
      <xdr:rowOff>422662</xdr:rowOff>
    </xdr:from>
    <xdr:to>
      <xdr:col>9</xdr:col>
      <xdr:colOff>805815</xdr:colOff>
      <xdr:row>2</xdr:row>
      <xdr:rowOff>184537</xdr:rowOff>
    </xdr:to>
    <xdr:grpSp>
      <xdr:nvGrpSpPr>
        <xdr:cNvPr id="10" name="RefreshBtn"/>
        <xdr:cNvGrpSpPr/>
      </xdr:nvGrpSpPr>
      <xdr:grpSpPr>
        <a:xfrm>
          <a:off x="7900951" y="946537"/>
          <a:ext cx="791564" cy="190500"/>
          <a:chOff x="8986801" y="956062"/>
          <a:chExt cx="791564" cy="190500"/>
        </a:xfrm>
      </xdr:grpSpPr>
      <xdr:sp macro="[0]!IncomeStatement_Refresh" textlink="">
        <xdr:nvSpPr>
          <xdr:cNvPr id="2" name="Rounded Rectangle 1"/>
          <xdr:cNvSpPr/>
        </xdr:nvSpPr>
        <xdr:spPr>
          <a:xfrm>
            <a:off x="9001125" y="956062"/>
            <a:ext cx="777240" cy="1905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100"/>
              <a:t>Refresh</a:t>
            </a:r>
          </a:p>
        </xdr:txBody>
      </xdr:sp>
      <xdr:pic macro="[0]!IncomeStatement_Refresh">
        <xdr:nvPicPr>
          <xdr:cNvPr id="8" name="Picture 7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986801" y="959872"/>
            <a:ext cx="255181" cy="182880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584200</xdr:colOff>
      <xdr:row>11</xdr:row>
      <xdr:rowOff>101600</xdr:rowOff>
    </xdr:from>
    <xdr:to>
      <xdr:col>10</xdr:col>
      <xdr:colOff>508000</xdr:colOff>
      <xdr:row>15</xdr:row>
      <xdr:rowOff>101600</xdr:rowOff>
    </xdr:to>
    <xdr:grpSp>
      <xdr:nvGrpSpPr>
        <xdr:cNvPr id="25" name="DetailsGrp" hidden="1"/>
        <xdr:cNvGrpSpPr/>
      </xdr:nvGrpSpPr>
      <xdr:grpSpPr>
        <a:xfrm>
          <a:off x="8470900" y="2816225"/>
          <a:ext cx="762000" cy="762000"/>
          <a:chOff x="10020299" y="1657349"/>
          <a:chExt cx="762000" cy="7620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2" name="HideDetails" hidden="1">
                <a:extLst>
                  <a:ext uri="{63B3BB69-23CF-44E3-9099-C40C66FF867C}">
                    <a14:compatExt spid="_x0000_s1062"/>
                  </a:ext>
                </a:extLst>
              </xdr:cNvPr>
              <xdr:cNvSpPr/>
            </xdr:nvSpPr>
            <xdr:spPr>
              <a:xfrm>
                <a:off x="10020299" y="1657349"/>
                <a:ext cx="762000" cy="762000"/>
              </a:xfrm>
              <a:prstGeom prst="rect">
                <a:avLst/>
              </a:prstGeom>
            </xdr:spPr>
          </xdr:sp>
        </mc:Choice>
        <mc:Fallback/>
      </mc:AlternateContent>
      <xdr:pic>
        <xdr:nvPicPr>
          <xdr:cNvPr id="9" name="Picture 8" hidden="1"/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309859" y="1946909"/>
            <a:ext cx="182880" cy="18288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61" name="ShowDetails" hidden="1">
                <a:extLst>
                  <a:ext uri="{63B3BB69-23CF-44E3-9099-C40C66FF867C}">
                    <a14:compatExt spid="_x0000_s1061"/>
                  </a:ext>
                </a:extLst>
              </xdr:cNvPr>
              <xdr:cNvSpPr/>
            </xdr:nvSpPr>
            <xdr:spPr>
              <a:xfrm>
                <a:off x="10242549" y="1879599"/>
                <a:ext cx="317500" cy="317500"/>
              </a:xfrm>
              <a:prstGeom prst="rect">
                <a:avLst/>
              </a:prstGeom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13</xdr:row>
          <xdr:rowOff>0</xdr:rowOff>
        </xdr:from>
        <xdr:to>
          <xdr:col>12</xdr:col>
          <xdr:colOff>1761259</xdr:colOff>
          <xdr:row>20</xdr:row>
          <xdr:rowOff>51955</xdr:rowOff>
        </xdr:to>
        <xdr:pic>
          <xdr:nvPicPr>
            <xdr:cNvPr id="30" name="DetailsPic" hidden="1"/>
            <xdr:cNvPicPr>
              <a:picLocks noChangeAspect="1" noChangeArrowheads="1"/>
              <a:extLst>
                <a:ext uri="{84589F7E-364E-4C9E-8A38-B11213B215E9}">
                  <a14:cameraTool cellRange="ZoomResults" spid="_x0000_s108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572625" y="3095625"/>
              <a:ext cx="3532909" cy="138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0</xdr:colOff>
          <xdr:row>13</xdr:row>
          <xdr:rowOff>0</xdr:rowOff>
        </xdr:from>
        <xdr:ext cx="3532909" cy="1385455"/>
        <xdr:pic>
          <xdr:nvPicPr>
            <xdr:cNvPr id="31" name="DetailsPic" hidden="1"/>
            <xdr:cNvPicPr>
              <a:picLocks noChangeAspect="1" noChangeArrowheads="1"/>
              <a:extLst>
                <a:ext uri="{84589F7E-364E-4C9E-8A38-B11213B215E9}">
                  <a14:cameraTool cellRange="ZoomResults" spid="_x0000_s1087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572625" y="3095625"/>
              <a:ext cx="3532909" cy="138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12</xdr:col>
          <xdr:colOff>0</xdr:colOff>
          <xdr:row>13</xdr:row>
          <xdr:rowOff>0</xdr:rowOff>
        </xdr:from>
        <xdr:ext cx="3532909" cy="1385455"/>
        <xdr:pic>
          <xdr:nvPicPr>
            <xdr:cNvPr id="32" name="DetailsPic" hidden="1"/>
            <xdr:cNvPicPr>
              <a:picLocks noChangeAspect="1" noChangeArrowheads="1"/>
              <a:extLst>
                <a:ext uri="{84589F7E-364E-4C9E-8A38-B11213B215E9}">
                  <a14:cameraTool cellRange="ZoomResults" spid="_x0000_s108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9572625" y="3095625"/>
              <a:ext cx="3532909" cy="138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oneCellAnchor>
    </mc:Choice>
    <mc:Fallback/>
  </mc:AlternateContent>
  <xdr:twoCellAnchor>
    <xdr:from>
      <xdr:col>11</xdr:col>
      <xdr:colOff>742950</xdr:colOff>
      <xdr:row>4</xdr:row>
      <xdr:rowOff>161925</xdr:rowOff>
    </xdr:from>
    <xdr:to>
      <xdr:col>13</xdr:col>
      <xdr:colOff>128277</xdr:colOff>
      <xdr:row>22</xdr:row>
      <xdr:rowOff>60984</xdr:rowOff>
    </xdr:to>
    <xdr:grpSp>
      <xdr:nvGrpSpPr>
        <xdr:cNvPr id="33" name="grpAdvert">
          <a:extLst>
            <a:ext uri="{FF2B5EF4-FFF2-40B4-BE49-F238E27FC236}">
              <a16:creationId xmlns=""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10315575" y="1495425"/>
          <a:ext cx="6033777" cy="3375684"/>
          <a:chOff x="2590800" y="904875"/>
          <a:chExt cx="6216058" cy="2710281"/>
        </a:xfrm>
      </xdr:grpSpPr>
      <xdr:pic>
        <xdr:nvPicPr>
          <xdr:cNvPr id="34" name="Picture 33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00000000-0008-0000-00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590800" y="973559"/>
            <a:ext cx="5713561" cy="2641597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/>
        </xdr:spPr>
      </xdr:pic>
      <xdr:sp macro="" textlink="">
        <xdr:nvSpPr>
          <xdr:cNvPr id="35" name="Explosion 1 69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00000000-0008-0000-0000-000014000000}"/>
              </a:ext>
            </a:extLst>
          </xdr:cNvPr>
          <xdr:cNvSpPr/>
        </xdr:nvSpPr>
        <xdr:spPr>
          <a:xfrm>
            <a:off x="7207338" y="904875"/>
            <a:ext cx="1599520" cy="1233609"/>
          </a:xfrm>
          <a:prstGeom prst="irregularSeal1">
            <a:avLst/>
          </a:prstGeom>
          <a:gradFill flip="none" rotWithShape="1">
            <a:gsLst>
              <a:gs pos="100000">
                <a:srgbClr val="1FFE0E">
                  <a:shade val="30000"/>
                  <a:satMod val="115000"/>
                </a:srgbClr>
              </a:gs>
              <a:gs pos="0">
                <a:srgbClr val="1FFE0E"/>
              </a:gs>
              <a:gs pos="50000">
                <a:srgbClr val="1FFE0E">
                  <a:shade val="67500"/>
                  <a:satMod val="115000"/>
                </a:srgbClr>
              </a:gs>
            </a:gsLst>
            <a:path path="circle">
              <a:fillToRect l="50000" t="50000" r="50000" b="50000"/>
            </a:path>
            <a:tileRect/>
          </a:gradFill>
          <a:ln>
            <a:solidFill>
              <a:srgbClr val="1D8145"/>
            </a:solidFill>
          </a:ln>
          <a:effectLst>
            <a:outerShdw blurRad="101600" dist="762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en-US" sz="1000" b="1">
                <a:solidFill>
                  <a:sysClr val="windowText" lastClr="000000"/>
                </a:solidFill>
                <a:latin typeface="+mj-lt"/>
              </a:rPr>
              <a:t>CLICK</a:t>
            </a:r>
            <a:r>
              <a:rPr lang="en-US" sz="1000" b="1" baseline="0">
                <a:solidFill>
                  <a:sysClr val="windowText" lastClr="000000"/>
                </a:solidFill>
                <a:latin typeface="+mj-lt"/>
              </a:rPr>
              <a:t> HERE TO LEARN MORE</a:t>
            </a:r>
            <a:endParaRPr lang="en-US" sz="1000" b="1">
              <a:solidFill>
                <a:sysClr val="windowText" lastClr="000000"/>
              </a:solidFill>
              <a:latin typeface="+mj-lt"/>
            </a:endParaRPr>
          </a:p>
        </xdr:txBody>
      </xdr:sp>
      <xdr:sp macro="" textlink="">
        <xdr:nvSpPr>
          <xdr:cNvPr id="36" name="Rounded Rectangle 67">
            <a:hlinkClick xmlns:r="http://schemas.openxmlformats.org/officeDocument/2006/relationships" r:id="rId6"/>
            <a:extLst>
              <a:ext uri="{FF2B5EF4-FFF2-40B4-BE49-F238E27FC236}">
                <a16:creationId xmlns="" xmlns:a16="http://schemas.microsoft.com/office/drawing/2014/main" id="{00000000-0008-0000-0000-000015000000}"/>
              </a:ext>
            </a:extLst>
          </xdr:cNvPr>
          <xdr:cNvSpPr/>
        </xdr:nvSpPr>
        <xdr:spPr>
          <a:xfrm>
            <a:off x="2609631" y="2780451"/>
            <a:ext cx="3832789" cy="823722"/>
          </a:xfrm>
          <a:prstGeom prst="roundRect">
            <a:avLst>
              <a:gd name="adj" fmla="val 24510"/>
            </a:avLst>
          </a:prstGeom>
          <a:solidFill>
            <a:srgbClr val="303C18">
              <a:alpha val="52941"/>
            </a:srgb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18288" tIns="0" rIns="18288" bIns="0" rtlCol="0" anchor="ctr"/>
          <a:lstStyle/>
          <a:p>
            <a:pPr algn="ctr"/>
            <a:r>
              <a:rPr lang="en-US" sz="1400">
                <a:latin typeface="+mn-lt"/>
              </a:rPr>
              <a:t>Learn How To  Define, Design, </a:t>
            </a:r>
            <a:r>
              <a:rPr lang="en-US" sz="1400" baseline="0">
                <a:latin typeface="+mn-lt"/>
              </a:rPr>
              <a:t> Develop &amp; Deploy Your Own Excel Applications In This Amazing Mentorship Program</a:t>
            </a:r>
            <a:endParaRPr lang="en-US" sz="1400"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784514</xdr:colOff>
          <xdr:row>8</xdr:row>
          <xdr:rowOff>96982</xdr:rowOff>
        </xdr:from>
        <xdr:to>
          <xdr:col>31</xdr:col>
          <xdr:colOff>39832</xdr:colOff>
          <xdr:row>15</xdr:row>
          <xdr:rowOff>148937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ZoomResults" spid="_x0000_s210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5920605" y="1811482"/>
              <a:ext cx="3532909" cy="138545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Foundry">
      <a:dk1>
        <a:sysClr val="windowText" lastClr="000000"/>
      </a:dk1>
      <a:lt1>
        <a:sysClr val="window" lastClr="FFFFFF"/>
      </a:lt1>
      <a:dk2>
        <a:srgbClr val="676A55"/>
      </a:dk2>
      <a:lt2>
        <a:srgbClr val="EAEBDE"/>
      </a:lt2>
      <a:accent1>
        <a:srgbClr val="72A376"/>
      </a:accent1>
      <a:accent2>
        <a:srgbClr val="B0CCB0"/>
      </a:accent2>
      <a:accent3>
        <a:srgbClr val="A8CDD7"/>
      </a:accent3>
      <a:accent4>
        <a:srgbClr val="C0BEAF"/>
      </a:accent4>
      <a:accent5>
        <a:srgbClr val="CEC597"/>
      </a:accent5>
      <a:accent6>
        <a:srgbClr val="E8B7B7"/>
      </a:accent6>
      <a:hlink>
        <a:srgbClr val="DB5353"/>
      </a:hlink>
      <a:folHlink>
        <a:srgbClr val="90363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autoPageBreaks="0"/>
  </sheetPr>
  <dimension ref="A1:N78"/>
  <sheetViews>
    <sheetView tabSelected="1" zoomScaleNormal="100" workbookViewId="0">
      <selection activeCell="M2" sqref="M2"/>
    </sheetView>
  </sheetViews>
  <sheetFormatPr defaultRowHeight="15" x14ac:dyDescent="0.25"/>
  <cols>
    <col min="1" max="1" width="14.42578125" bestFit="1" customWidth="1"/>
    <col min="3" max="3" width="19.28515625" customWidth="1"/>
    <col min="4" max="4" width="16.42578125" bestFit="1" customWidth="1"/>
    <col min="5" max="5" width="13" customWidth="1"/>
    <col min="6" max="6" width="14.28515625" customWidth="1"/>
    <col min="7" max="7" width="10.7109375" bestFit="1" customWidth="1"/>
    <col min="8" max="8" width="7.85546875" customWidth="1"/>
    <col min="9" max="9" width="13.140625" customWidth="1"/>
    <col min="10" max="10" width="12.5703125" bestFit="1" customWidth="1"/>
    <col min="11" max="11" width="12.7109375" bestFit="1" customWidth="1"/>
    <col min="12" max="12" width="26.5703125" customWidth="1"/>
    <col min="13" max="13" width="73.140625" customWidth="1"/>
  </cols>
  <sheetData>
    <row r="1" spans="1:14" ht="41.25" customHeight="1" x14ac:dyDescent="0.6">
      <c r="A1" s="43"/>
      <c r="B1" s="43"/>
      <c r="C1" s="76" t="s">
        <v>162</v>
      </c>
      <c r="D1" s="76"/>
      <c r="E1" s="76"/>
      <c r="F1" s="76"/>
      <c r="G1" s="76"/>
      <c r="H1" s="76"/>
      <c r="I1" s="76"/>
      <c r="J1" s="76"/>
      <c r="K1" s="76"/>
      <c r="L1" s="76"/>
      <c r="M1" s="89"/>
      <c r="N1" s="73"/>
    </row>
    <row r="2" spans="1:14" ht="33.75" x14ac:dyDescent="0.5">
      <c r="A2" s="55"/>
      <c r="B2" s="55"/>
      <c r="C2" s="91" t="s">
        <v>148</v>
      </c>
      <c r="D2" s="91"/>
      <c r="E2" s="91"/>
      <c r="F2" s="91"/>
      <c r="G2" s="91"/>
      <c r="H2" s="91"/>
      <c r="I2" s="91"/>
      <c r="J2" s="91"/>
      <c r="K2" s="91"/>
      <c r="L2" s="91"/>
      <c r="M2" s="90"/>
      <c r="N2" s="73"/>
    </row>
    <row r="3" spans="1:14" x14ac:dyDescent="0.25">
      <c r="A3" s="56" t="s">
        <v>164</v>
      </c>
      <c r="B3" s="57">
        <f>IFERROR(MATCH(E3,DateRange,0)+23,"")</f>
        <v>25</v>
      </c>
      <c r="C3" s="77"/>
      <c r="D3" s="81" t="s">
        <v>163</v>
      </c>
      <c r="E3" s="79" t="s">
        <v>158</v>
      </c>
      <c r="F3" s="81" t="s">
        <v>144</v>
      </c>
      <c r="G3" s="80">
        <v>43831</v>
      </c>
      <c r="H3" s="81" t="s">
        <v>145</v>
      </c>
      <c r="I3" s="78">
        <v>43921</v>
      </c>
      <c r="J3" s="77"/>
      <c r="K3" s="77"/>
      <c r="L3" s="77"/>
      <c r="M3" s="77"/>
      <c r="N3" s="73"/>
    </row>
    <row r="4" spans="1:14" x14ac:dyDescent="0.25">
      <c r="A4" s="56" t="s">
        <v>165</v>
      </c>
      <c r="B4" s="57" t="b">
        <v>0</v>
      </c>
      <c r="C4" s="77"/>
      <c r="D4" s="77"/>
      <c r="E4" s="77"/>
      <c r="F4" s="77"/>
      <c r="G4" s="77"/>
      <c r="H4" s="77"/>
      <c r="I4" s="77"/>
      <c r="J4" s="77"/>
      <c r="K4" s="77"/>
      <c r="L4" s="77"/>
      <c r="M4" s="77"/>
      <c r="N4" s="73"/>
    </row>
    <row r="5" spans="1:14" s="42" customFormat="1" ht="18.75" x14ac:dyDescent="0.3">
      <c r="A5" s="56" t="s">
        <v>149</v>
      </c>
      <c r="B5" s="57">
        <v>14</v>
      </c>
      <c r="C5" s="77"/>
      <c r="D5" s="75" t="str">
        <f>"INCOME STATEMENT: "&amp;TEXT(G3,"mm/dd/yyyy")&amp;" TO: "&amp;TEXT(I3,"mm/dd/yyyy")</f>
        <v>INCOME STATEMENT: 01/01/2020 TO: 03/31/2020</v>
      </c>
      <c r="E5" s="75"/>
      <c r="F5" s="75"/>
      <c r="G5" s="75"/>
      <c r="H5" s="75"/>
      <c r="I5" s="75"/>
      <c r="J5" s="75"/>
      <c r="K5" s="75"/>
      <c r="L5" s="77"/>
      <c r="M5" s="77"/>
      <c r="N5" s="74"/>
    </row>
    <row r="6" spans="1:14" x14ac:dyDescent="0.25">
      <c r="A6" s="55"/>
      <c r="B6" s="55"/>
      <c r="C6" s="82"/>
      <c r="D6" s="86" t="s">
        <v>11</v>
      </c>
      <c r="E6" s="86"/>
      <c r="F6" s="87"/>
      <c r="G6" s="87"/>
      <c r="H6" s="87"/>
      <c r="I6" s="87"/>
      <c r="J6" s="87"/>
      <c r="K6" s="87"/>
      <c r="L6" s="82"/>
      <c r="M6" s="82"/>
      <c r="N6" s="73"/>
    </row>
    <row r="7" spans="1:14" x14ac:dyDescent="0.25">
      <c r="A7" s="55"/>
      <c r="B7" s="55"/>
      <c r="C7" s="82"/>
      <c r="D7" s="86"/>
      <c r="E7" s="86" t="s">
        <v>12</v>
      </c>
      <c r="F7" s="87"/>
      <c r="G7" s="87"/>
      <c r="H7" s="87"/>
      <c r="I7" s="87"/>
      <c r="J7" s="88">
        <v>29595</v>
      </c>
      <c r="K7" s="87"/>
      <c r="L7" s="82"/>
      <c r="M7" s="82"/>
      <c r="N7" s="73"/>
    </row>
    <row r="8" spans="1:14" x14ac:dyDescent="0.25">
      <c r="A8" s="55"/>
      <c r="B8" s="55"/>
      <c r="C8" s="82"/>
      <c r="D8" s="86"/>
      <c r="E8" s="86" t="s">
        <v>15</v>
      </c>
      <c r="F8" s="87"/>
      <c r="G8" s="87"/>
      <c r="H8" s="87"/>
      <c r="I8" s="87"/>
      <c r="J8" s="88">
        <v>26496</v>
      </c>
      <c r="K8" s="87"/>
      <c r="L8" s="82"/>
      <c r="M8" s="82"/>
      <c r="N8" s="73"/>
    </row>
    <row r="9" spans="1:14" x14ac:dyDescent="0.25">
      <c r="A9" s="55"/>
      <c r="B9" s="55"/>
      <c r="C9" s="82"/>
      <c r="D9" s="86"/>
      <c r="E9" s="86" t="s">
        <v>18</v>
      </c>
      <c r="F9" s="87"/>
      <c r="G9" s="87"/>
      <c r="H9" s="87"/>
      <c r="I9" s="87"/>
      <c r="J9" s="88">
        <v>10376</v>
      </c>
      <c r="K9" s="87"/>
      <c r="L9" s="82"/>
      <c r="M9" s="82"/>
      <c r="N9" s="73"/>
    </row>
    <row r="10" spans="1:14" x14ac:dyDescent="0.25">
      <c r="A10" s="55"/>
      <c r="B10" s="55"/>
      <c r="C10" s="82"/>
      <c r="D10" s="86"/>
      <c r="E10" s="86" t="s">
        <v>21</v>
      </c>
      <c r="F10" s="87"/>
      <c r="G10" s="87"/>
      <c r="H10" s="87"/>
      <c r="I10" s="87"/>
      <c r="J10" s="88">
        <v>10518</v>
      </c>
      <c r="K10" s="87"/>
      <c r="L10" s="82"/>
      <c r="M10" s="82"/>
      <c r="N10" s="73"/>
    </row>
    <row r="11" spans="1:14" x14ac:dyDescent="0.25">
      <c r="A11" s="55"/>
      <c r="B11" s="55"/>
      <c r="C11" s="82"/>
      <c r="D11" s="86" t="s">
        <v>139</v>
      </c>
      <c r="E11" s="86"/>
      <c r="F11" s="87"/>
      <c r="G11" s="87"/>
      <c r="H11" s="87"/>
      <c r="I11" s="87"/>
      <c r="J11" s="88">
        <v>76985</v>
      </c>
      <c r="K11" s="88"/>
      <c r="L11" s="84"/>
      <c r="M11" s="84"/>
      <c r="N11" s="73"/>
    </row>
    <row r="12" spans="1:14" x14ac:dyDescent="0.25">
      <c r="A12" s="55"/>
      <c r="B12" s="55"/>
      <c r="C12" s="82"/>
      <c r="D12" s="86" t="s">
        <v>14</v>
      </c>
      <c r="E12" s="86"/>
      <c r="F12" s="87"/>
      <c r="G12" s="87"/>
      <c r="H12" s="87"/>
      <c r="I12" s="87"/>
      <c r="J12" s="87"/>
      <c r="K12" s="87"/>
      <c r="L12" s="82"/>
      <c r="M12" s="82"/>
      <c r="N12" s="73"/>
    </row>
    <row r="13" spans="1:14" x14ac:dyDescent="0.25">
      <c r="A13" s="43"/>
      <c r="B13" s="43"/>
      <c r="C13" s="82"/>
      <c r="D13" s="86"/>
      <c r="E13" s="86" t="s">
        <v>24</v>
      </c>
      <c r="F13" s="87"/>
      <c r="G13" s="87"/>
      <c r="H13" s="87"/>
      <c r="I13" s="87"/>
      <c r="J13" s="88">
        <v>6785</v>
      </c>
      <c r="K13" s="87"/>
      <c r="L13" s="82"/>
      <c r="M13" s="82"/>
      <c r="N13" s="73"/>
    </row>
    <row r="14" spans="1:14" x14ac:dyDescent="0.25">
      <c r="A14" s="43"/>
      <c r="B14" s="43"/>
      <c r="C14" s="82"/>
      <c r="D14" s="86"/>
      <c r="E14" s="86" t="s">
        <v>26</v>
      </c>
      <c r="F14" s="87"/>
      <c r="G14" s="87"/>
      <c r="H14" s="87"/>
      <c r="I14" s="87"/>
      <c r="J14" s="88">
        <v>4406</v>
      </c>
      <c r="K14" s="88"/>
      <c r="L14" s="82"/>
      <c r="M14" s="82"/>
      <c r="N14" s="73"/>
    </row>
    <row r="15" spans="1:14" x14ac:dyDescent="0.25">
      <c r="A15" s="43"/>
      <c r="B15" s="43"/>
      <c r="C15" s="82"/>
      <c r="D15" s="86"/>
      <c r="E15" s="86" t="s">
        <v>28</v>
      </c>
      <c r="F15" s="87"/>
      <c r="G15" s="87"/>
      <c r="H15" s="87"/>
      <c r="I15" s="88"/>
      <c r="J15" s="88">
        <v>5938</v>
      </c>
      <c r="K15" s="87"/>
      <c r="L15" s="82"/>
      <c r="M15" s="82"/>
      <c r="N15" s="73"/>
    </row>
    <row r="16" spans="1:14" x14ac:dyDescent="0.25">
      <c r="A16" s="43"/>
      <c r="B16" s="43"/>
      <c r="C16" s="82"/>
      <c r="D16" s="86" t="s">
        <v>140</v>
      </c>
      <c r="E16" s="86"/>
      <c r="F16" s="87"/>
      <c r="G16" s="87"/>
      <c r="H16" s="87"/>
      <c r="I16" s="87"/>
      <c r="J16" s="88">
        <v>17129</v>
      </c>
      <c r="K16" s="87"/>
      <c r="L16" s="82"/>
      <c r="M16" s="82"/>
      <c r="N16" s="73"/>
    </row>
    <row r="17" spans="1:14" x14ac:dyDescent="0.25">
      <c r="A17" s="43"/>
      <c r="B17" s="43"/>
      <c r="C17" s="82"/>
      <c r="D17" s="86" t="s">
        <v>141</v>
      </c>
      <c r="E17" s="86"/>
      <c r="F17" s="87"/>
      <c r="G17" s="87"/>
      <c r="H17" s="87"/>
      <c r="I17" s="87"/>
      <c r="J17" s="88"/>
      <c r="K17" s="88">
        <v>59856</v>
      </c>
      <c r="L17" s="82"/>
      <c r="M17" s="82"/>
      <c r="N17" s="73"/>
    </row>
    <row r="18" spans="1:14" x14ac:dyDescent="0.25">
      <c r="A18" s="43"/>
      <c r="B18" s="43"/>
      <c r="C18" s="82"/>
      <c r="D18" s="86" t="s">
        <v>166</v>
      </c>
      <c r="E18" s="86"/>
      <c r="F18" s="87"/>
      <c r="G18" s="87"/>
      <c r="H18" s="87"/>
      <c r="I18" s="88"/>
      <c r="J18" s="88"/>
      <c r="K18" s="88"/>
      <c r="L18" s="82"/>
      <c r="M18" s="82"/>
      <c r="N18" s="73"/>
    </row>
    <row r="19" spans="1:14" x14ac:dyDescent="0.25">
      <c r="A19" s="43"/>
      <c r="B19" s="43"/>
      <c r="C19" s="82"/>
      <c r="D19" s="86"/>
      <c r="E19" s="86" t="s">
        <v>31</v>
      </c>
      <c r="F19" s="87"/>
      <c r="G19" s="87"/>
      <c r="H19" s="87"/>
      <c r="I19" s="87"/>
      <c r="J19" s="88">
        <v>4276</v>
      </c>
      <c r="K19" s="87"/>
      <c r="L19" s="82"/>
      <c r="M19" s="82"/>
      <c r="N19" s="73"/>
    </row>
    <row r="20" spans="1:14" x14ac:dyDescent="0.25">
      <c r="A20" s="43"/>
      <c r="B20" s="43"/>
      <c r="C20" s="82"/>
      <c r="D20" s="86"/>
      <c r="E20" s="86" t="s">
        <v>34</v>
      </c>
      <c r="F20" s="87"/>
      <c r="G20" s="87"/>
      <c r="H20" s="87"/>
      <c r="I20" s="87"/>
      <c r="J20" s="88">
        <v>5137</v>
      </c>
      <c r="K20" s="88"/>
      <c r="L20" s="84"/>
      <c r="M20" s="84"/>
      <c r="N20" s="73"/>
    </row>
    <row r="21" spans="1:14" x14ac:dyDescent="0.25">
      <c r="A21" s="43"/>
      <c r="B21" s="43"/>
      <c r="C21" s="82"/>
      <c r="D21" s="86"/>
      <c r="E21" s="86" t="s">
        <v>37</v>
      </c>
      <c r="F21" s="87"/>
      <c r="G21" s="87"/>
      <c r="H21" s="87"/>
      <c r="I21" s="87"/>
      <c r="J21" s="88">
        <v>4127</v>
      </c>
      <c r="K21" s="88"/>
      <c r="L21" s="82"/>
      <c r="M21" s="82"/>
      <c r="N21" s="73"/>
    </row>
    <row r="22" spans="1:14" x14ac:dyDescent="0.25">
      <c r="A22" s="43"/>
      <c r="B22" s="43"/>
      <c r="C22" s="82"/>
      <c r="D22" s="86"/>
      <c r="E22" s="86" t="s">
        <v>40</v>
      </c>
      <c r="F22" s="87"/>
      <c r="G22" s="87"/>
      <c r="H22" s="87"/>
      <c r="I22" s="87"/>
      <c r="J22" s="88">
        <v>5652</v>
      </c>
      <c r="K22" s="87"/>
      <c r="L22" s="82"/>
      <c r="M22" s="82"/>
      <c r="N22" s="73"/>
    </row>
    <row r="23" spans="1:14" x14ac:dyDescent="0.25">
      <c r="A23" s="43"/>
      <c r="B23" s="43"/>
      <c r="C23" s="82"/>
      <c r="D23" s="86"/>
      <c r="E23" s="86" t="s">
        <v>43</v>
      </c>
      <c r="F23" s="87"/>
      <c r="G23" s="87"/>
      <c r="H23" s="87"/>
      <c r="I23" s="87"/>
      <c r="J23" s="88">
        <v>5107</v>
      </c>
      <c r="K23" s="87"/>
      <c r="L23" s="82"/>
      <c r="M23" s="82"/>
      <c r="N23" s="73"/>
    </row>
    <row r="24" spans="1:14" x14ac:dyDescent="0.25">
      <c r="A24" s="43"/>
      <c r="B24" s="43"/>
      <c r="C24" s="82"/>
      <c r="D24" s="86"/>
      <c r="E24" s="86" t="s">
        <v>46</v>
      </c>
      <c r="F24" s="87"/>
      <c r="G24" s="87"/>
      <c r="H24" s="87"/>
      <c r="I24" s="87"/>
      <c r="J24" s="88">
        <v>4159</v>
      </c>
      <c r="K24" s="87"/>
      <c r="L24" s="82"/>
      <c r="M24" s="82"/>
      <c r="N24" s="73"/>
    </row>
    <row r="25" spans="1:14" x14ac:dyDescent="0.25">
      <c r="A25" s="43"/>
      <c r="B25" s="43"/>
      <c r="C25" s="82"/>
      <c r="D25" s="86"/>
      <c r="E25" s="86" t="s">
        <v>49</v>
      </c>
      <c r="F25" s="87"/>
      <c r="G25" s="87"/>
      <c r="H25" s="87"/>
      <c r="I25" s="87"/>
      <c r="J25" s="88">
        <v>4697</v>
      </c>
      <c r="K25" s="88"/>
      <c r="L25" s="82"/>
      <c r="M25" s="82"/>
      <c r="N25" s="73"/>
    </row>
    <row r="26" spans="1:14" x14ac:dyDescent="0.25">
      <c r="A26" s="43"/>
      <c r="B26" s="43"/>
      <c r="C26" s="82"/>
      <c r="D26" s="86"/>
      <c r="E26" s="86" t="s">
        <v>52</v>
      </c>
      <c r="F26" s="87"/>
      <c r="G26" s="87"/>
      <c r="H26" s="87"/>
      <c r="I26" s="88"/>
      <c r="J26" s="88">
        <v>7751</v>
      </c>
      <c r="K26" s="87"/>
      <c r="L26" s="82"/>
      <c r="M26" s="82"/>
      <c r="N26" s="73"/>
    </row>
    <row r="27" spans="1:14" x14ac:dyDescent="0.25">
      <c r="A27" s="43"/>
      <c r="B27" s="43"/>
      <c r="C27" s="82"/>
      <c r="D27" s="86" t="s">
        <v>142</v>
      </c>
      <c r="E27" s="86"/>
      <c r="F27" s="87"/>
      <c r="G27" s="87"/>
      <c r="H27" s="87"/>
      <c r="I27" s="87"/>
      <c r="J27" s="88">
        <v>40906</v>
      </c>
      <c r="K27" s="87"/>
      <c r="L27" s="82"/>
      <c r="M27" s="82"/>
      <c r="N27" s="73"/>
    </row>
    <row r="28" spans="1:14" x14ac:dyDescent="0.25">
      <c r="A28" s="43"/>
      <c r="B28" s="43"/>
      <c r="C28" s="82"/>
      <c r="D28" s="86" t="s">
        <v>143</v>
      </c>
      <c r="E28" s="86"/>
      <c r="F28" s="87"/>
      <c r="G28" s="87"/>
      <c r="H28" s="87"/>
      <c r="I28" s="87"/>
      <c r="J28" s="88"/>
      <c r="K28" s="88">
        <v>18950</v>
      </c>
      <c r="L28" s="82"/>
      <c r="M28" s="82"/>
      <c r="N28" s="73"/>
    </row>
    <row r="29" spans="1:14" x14ac:dyDescent="0.25">
      <c r="A29" s="43"/>
      <c r="B29" s="43"/>
      <c r="C29" s="82"/>
      <c r="D29" s="86"/>
      <c r="E29" s="86"/>
      <c r="F29" s="87"/>
      <c r="G29" s="87"/>
      <c r="H29" s="87"/>
      <c r="I29" s="88"/>
      <c r="J29" s="88"/>
      <c r="K29" s="88"/>
      <c r="L29" s="82"/>
      <c r="M29" s="82"/>
      <c r="N29" s="73"/>
    </row>
    <row r="30" spans="1:14" x14ac:dyDescent="0.25">
      <c r="A30" s="43"/>
      <c r="B30" s="43"/>
      <c r="C30" s="82"/>
      <c r="D30" s="86"/>
      <c r="E30" s="86"/>
      <c r="F30" s="87"/>
      <c r="G30" s="87"/>
      <c r="H30" s="87"/>
      <c r="I30" s="87"/>
      <c r="J30" s="87"/>
      <c r="K30" s="88"/>
      <c r="L30" s="82"/>
      <c r="M30" s="82"/>
      <c r="N30" s="73"/>
    </row>
    <row r="31" spans="1:14" x14ac:dyDescent="0.25">
      <c r="A31" s="43"/>
      <c r="B31" s="43"/>
      <c r="C31" s="82"/>
      <c r="D31" s="86"/>
      <c r="E31" s="86"/>
      <c r="F31" s="87"/>
      <c r="G31" s="87"/>
      <c r="H31" s="87"/>
      <c r="I31" s="87"/>
      <c r="J31" s="87"/>
      <c r="K31" s="87"/>
      <c r="L31" s="82"/>
      <c r="M31" s="82"/>
      <c r="N31" s="73"/>
    </row>
    <row r="32" spans="1:14" x14ac:dyDescent="0.25">
      <c r="A32" s="43"/>
      <c r="B32" s="43"/>
      <c r="C32" s="82"/>
      <c r="D32" s="86"/>
      <c r="E32" s="86"/>
      <c r="F32" s="87"/>
      <c r="G32" s="87"/>
      <c r="H32" s="87"/>
      <c r="I32" s="87"/>
      <c r="J32" s="87"/>
      <c r="K32" s="87"/>
      <c r="L32" s="82"/>
      <c r="M32" s="82"/>
      <c r="N32" s="73"/>
    </row>
    <row r="33" spans="1:14" x14ac:dyDescent="0.25">
      <c r="A33" s="43"/>
      <c r="B33" s="43"/>
      <c r="C33" s="82"/>
      <c r="D33" s="86"/>
      <c r="E33" s="87"/>
      <c r="F33" s="87"/>
      <c r="G33" s="87"/>
      <c r="H33" s="87"/>
      <c r="I33" s="87"/>
      <c r="J33" s="87"/>
      <c r="K33" s="87"/>
      <c r="L33" s="82"/>
      <c r="M33" s="82"/>
      <c r="N33" s="73"/>
    </row>
    <row r="34" spans="1:14" x14ac:dyDescent="0.25">
      <c r="A34" s="43"/>
      <c r="B34" s="43"/>
      <c r="C34" s="82"/>
      <c r="D34" s="86"/>
      <c r="E34" s="87"/>
      <c r="F34" s="87"/>
      <c r="G34" s="87"/>
      <c r="H34" s="87"/>
      <c r="I34" s="87"/>
      <c r="J34" s="87"/>
      <c r="K34" s="87"/>
      <c r="L34" s="82"/>
      <c r="M34" s="82"/>
      <c r="N34" s="73"/>
    </row>
    <row r="35" spans="1:14" x14ac:dyDescent="0.25">
      <c r="A35" s="43"/>
      <c r="B35" s="43"/>
      <c r="C35" s="82"/>
      <c r="D35" s="86"/>
      <c r="E35" s="87"/>
      <c r="F35" s="87"/>
      <c r="G35" s="87"/>
      <c r="H35" s="87"/>
      <c r="I35" s="87"/>
      <c r="J35" s="87"/>
      <c r="K35" s="87"/>
      <c r="L35" s="82"/>
      <c r="M35" s="82"/>
      <c r="N35" s="73"/>
    </row>
    <row r="36" spans="1:14" x14ac:dyDescent="0.25">
      <c r="A36" s="43"/>
      <c r="B36" s="43"/>
      <c r="C36" s="82"/>
      <c r="D36" s="86"/>
      <c r="E36" s="87"/>
      <c r="F36" s="87"/>
      <c r="G36" s="87"/>
      <c r="H36" s="87"/>
      <c r="I36" s="87"/>
      <c r="J36" s="87"/>
      <c r="K36" s="87"/>
      <c r="L36" s="82"/>
      <c r="M36" s="82"/>
      <c r="N36" s="73"/>
    </row>
    <row r="37" spans="1:14" x14ac:dyDescent="0.25">
      <c r="A37" s="43"/>
      <c r="B37" s="43"/>
      <c r="C37" s="82"/>
      <c r="D37" s="86"/>
      <c r="E37" s="87"/>
      <c r="F37" s="87"/>
      <c r="G37" s="87"/>
      <c r="H37" s="87"/>
      <c r="I37" s="87"/>
      <c r="J37" s="87"/>
      <c r="K37" s="87"/>
      <c r="L37" s="82"/>
      <c r="M37" s="82"/>
      <c r="N37" s="73"/>
    </row>
    <row r="38" spans="1:14" x14ac:dyDescent="0.25">
      <c r="A38" s="43"/>
      <c r="B38" s="43"/>
      <c r="C38" s="82"/>
      <c r="D38" s="86"/>
      <c r="E38" s="87"/>
      <c r="F38" s="87"/>
      <c r="G38" s="87"/>
      <c r="H38" s="87"/>
      <c r="I38" s="87"/>
      <c r="J38" s="87"/>
      <c r="K38" s="87"/>
      <c r="L38" s="82"/>
      <c r="M38" s="82"/>
      <c r="N38" s="73"/>
    </row>
    <row r="39" spans="1:14" x14ac:dyDescent="0.25">
      <c r="A39" s="43"/>
      <c r="B39" s="43"/>
      <c r="C39" s="82"/>
      <c r="D39" s="86"/>
      <c r="E39" s="87"/>
      <c r="F39" s="87"/>
      <c r="G39" s="87"/>
      <c r="H39" s="87"/>
      <c r="I39" s="87"/>
      <c r="J39" s="87"/>
      <c r="K39" s="87"/>
      <c r="L39" s="82"/>
      <c r="M39" s="82"/>
      <c r="N39" s="73"/>
    </row>
    <row r="40" spans="1:14" x14ac:dyDescent="0.25">
      <c r="A40" s="43"/>
      <c r="B40" s="43"/>
      <c r="C40" s="82"/>
      <c r="D40" s="86"/>
      <c r="E40" s="87"/>
      <c r="F40" s="87"/>
      <c r="G40" s="87"/>
      <c r="H40" s="87"/>
      <c r="I40" s="87"/>
      <c r="J40" s="87"/>
      <c r="K40" s="87"/>
      <c r="L40" s="82"/>
      <c r="M40" s="82"/>
      <c r="N40" s="73"/>
    </row>
    <row r="41" spans="1:14" x14ac:dyDescent="0.25">
      <c r="A41" s="43"/>
      <c r="B41" s="43"/>
      <c r="C41" s="82"/>
      <c r="D41" s="86"/>
      <c r="E41" s="87"/>
      <c r="F41" s="87"/>
      <c r="G41" s="87"/>
      <c r="H41" s="87"/>
      <c r="I41" s="87"/>
      <c r="J41" s="87"/>
      <c r="K41" s="87"/>
      <c r="L41" s="82"/>
      <c r="M41" s="82"/>
      <c r="N41" s="73"/>
    </row>
    <row r="42" spans="1:14" x14ac:dyDescent="0.25">
      <c r="A42" s="43"/>
      <c r="B42" s="43"/>
      <c r="C42" s="82"/>
      <c r="D42" s="86"/>
      <c r="E42" s="87"/>
      <c r="F42" s="87"/>
      <c r="G42" s="87"/>
      <c r="H42" s="87"/>
      <c r="I42" s="87"/>
      <c r="J42" s="87"/>
      <c r="K42" s="87"/>
      <c r="L42" s="82"/>
      <c r="M42" s="82"/>
      <c r="N42" s="73"/>
    </row>
    <row r="43" spans="1:14" x14ac:dyDescent="0.25">
      <c r="A43" s="43"/>
      <c r="B43" s="43"/>
      <c r="C43" s="82"/>
      <c r="D43" s="86"/>
      <c r="E43" s="87"/>
      <c r="F43" s="87"/>
      <c r="G43" s="87"/>
      <c r="H43" s="87"/>
      <c r="I43" s="87"/>
      <c r="J43" s="87"/>
      <c r="K43" s="87"/>
      <c r="L43" s="82"/>
      <c r="M43" s="82"/>
      <c r="N43" s="73"/>
    </row>
    <row r="44" spans="1:14" x14ac:dyDescent="0.25">
      <c r="A44" s="43"/>
      <c r="B44" s="43"/>
      <c r="C44" s="82"/>
      <c r="D44" s="86"/>
      <c r="E44" s="87"/>
      <c r="F44" s="87"/>
      <c r="G44" s="87"/>
      <c r="H44" s="87"/>
      <c r="I44" s="87"/>
      <c r="J44" s="87"/>
      <c r="K44" s="87"/>
      <c r="L44" s="82"/>
      <c r="M44" s="82"/>
      <c r="N44" s="73"/>
    </row>
    <row r="45" spans="1:14" x14ac:dyDescent="0.25">
      <c r="A45" s="43"/>
      <c r="B45" s="43"/>
      <c r="C45" s="82"/>
      <c r="D45" s="86"/>
      <c r="E45" s="87"/>
      <c r="F45" s="87"/>
      <c r="G45" s="87"/>
      <c r="H45" s="87"/>
      <c r="I45" s="87"/>
      <c r="J45" s="87"/>
      <c r="K45" s="87"/>
      <c r="L45" s="82"/>
      <c r="M45" s="82"/>
      <c r="N45" s="73"/>
    </row>
    <row r="46" spans="1:14" x14ac:dyDescent="0.25">
      <c r="A46" s="43"/>
      <c r="B46" s="43"/>
      <c r="C46" s="82"/>
      <c r="D46" s="86"/>
      <c r="E46" s="87"/>
      <c r="F46" s="87"/>
      <c r="G46" s="87"/>
      <c r="H46" s="87"/>
      <c r="I46" s="87"/>
      <c r="J46" s="87"/>
      <c r="K46" s="87"/>
      <c r="L46" s="82"/>
      <c r="M46" s="82"/>
      <c r="N46" s="73"/>
    </row>
    <row r="47" spans="1:14" x14ac:dyDescent="0.25">
      <c r="C47" s="82"/>
      <c r="D47" s="86"/>
      <c r="E47" s="87"/>
      <c r="F47" s="87"/>
      <c r="G47" s="87"/>
      <c r="H47" s="87"/>
      <c r="I47" s="87"/>
      <c r="J47" s="87"/>
      <c r="K47" s="87"/>
      <c r="L47" s="82"/>
      <c r="M47" s="82"/>
      <c r="N47" s="73"/>
    </row>
    <row r="48" spans="1:14" x14ac:dyDescent="0.25">
      <c r="C48" s="82"/>
      <c r="D48" s="86"/>
      <c r="E48" s="87"/>
      <c r="F48" s="87"/>
      <c r="G48" s="87"/>
      <c r="H48" s="87"/>
      <c r="I48" s="87"/>
      <c r="J48" s="87"/>
      <c r="K48" s="87"/>
      <c r="L48" s="82"/>
      <c r="M48" s="82"/>
      <c r="N48" s="73"/>
    </row>
    <row r="49" spans="3:14" x14ac:dyDescent="0.25">
      <c r="C49" s="82"/>
      <c r="D49" s="86"/>
      <c r="E49" s="87"/>
      <c r="F49" s="87"/>
      <c r="G49" s="87"/>
      <c r="H49" s="87"/>
      <c r="I49" s="87"/>
      <c r="J49" s="87"/>
      <c r="K49" s="87"/>
      <c r="L49" s="82"/>
      <c r="M49" s="82"/>
      <c r="N49" s="73"/>
    </row>
    <row r="50" spans="3:14" x14ac:dyDescent="0.25">
      <c r="C50" s="82"/>
      <c r="D50" s="86"/>
      <c r="E50" s="87"/>
      <c r="F50" s="87"/>
      <c r="G50" s="87"/>
      <c r="H50" s="87"/>
      <c r="I50" s="87"/>
      <c r="J50" s="87"/>
      <c r="K50" s="87"/>
      <c r="L50" s="82"/>
      <c r="M50" s="82"/>
      <c r="N50" s="73"/>
    </row>
    <row r="51" spans="3:14" x14ac:dyDescent="0.25">
      <c r="C51" s="82"/>
      <c r="D51" s="86"/>
      <c r="E51" s="87"/>
      <c r="F51" s="87"/>
      <c r="G51" s="87"/>
      <c r="H51" s="87"/>
      <c r="I51" s="87"/>
      <c r="J51" s="87"/>
      <c r="K51" s="87"/>
      <c r="L51" s="82"/>
      <c r="M51" s="82"/>
      <c r="N51" s="73"/>
    </row>
    <row r="52" spans="3:14" x14ac:dyDescent="0.25">
      <c r="C52" s="82"/>
      <c r="D52" s="86"/>
      <c r="E52" s="87"/>
      <c r="F52" s="87"/>
      <c r="G52" s="87"/>
      <c r="H52" s="87"/>
      <c r="I52" s="87"/>
      <c r="J52" s="87"/>
      <c r="K52" s="87"/>
      <c r="L52" s="82"/>
      <c r="M52" s="82"/>
      <c r="N52" s="73"/>
    </row>
    <row r="53" spans="3:14" x14ac:dyDescent="0.25">
      <c r="C53" s="82"/>
      <c r="D53" s="86"/>
      <c r="E53" s="87"/>
      <c r="F53" s="87"/>
      <c r="G53" s="87"/>
      <c r="H53" s="87"/>
      <c r="I53" s="87"/>
      <c r="J53" s="87"/>
      <c r="K53" s="87"/>
      <c r="L53" s="82"/>
      <c r="M53" s="82"/>
      <c r="N53" s="73"/>
    </row>
    <row r="54" spans="3:14" x14ac:dyDescent="0.25">
      <c r="C54" s="82"/>
      <c r="D54" s="83"/>
      <c r="E54" s="82"/>
      <c r="F54" s="82"/>
      <c r="G54" s="82"/>
      <c r="H54" s="82"/>
      <c r="I54" s="82"/>
      <c r="J54" s="82"/>
      <c r="K54" s="82"/>
      <c r="L54" s="82"/>
      <c r="M54" s="82"/>
      <c r="N54" s="73"/>
    </row>
    <row r="55" spans="3:14" x14ac:dyDescent="0.25"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73"/>
    </row>
    <row r="56" spans="3:14" x14ac:dyDescent="0.25">
      <c r="C56" s="82"/>
      <c r="D56" s="82"/>
      <c r="E56" s="82"/>
      <c r="F56" s="82"/>
      <c r="G56" s="82"/>
      <c r="H56" s="82"/>
      <c r="I56" s="82"/>
      <c r="J56" s="82"/>
      <c r="K56" s="82"/>
      <c r="L56" s="82"/>
      <c r="M56" s="82"/>
      <c r="N56" s="73"/>
    </row>
    <row r="57" spans="3:14" x14ac:dyDescent="0.25">
      <c r="C57" s="82"/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73"/>
    </row>
    <row r="58" spans="3:14" x14ac:dyDescent="0.25"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73"/>
    </row>
    <row r="59" spans="3:14" x14ac:dyDescent="0.25">
      <c r="C59" s="82"/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73"/>
    </row>
    <row r="60" spans="3:14" x14ac:dyDescent="0.25"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73"/>
    </row>
    <row r="61" spans="3:14" x14ac:dyDescent="0.25"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73"/>
    </row>
    <row r="62" spans="3:14" x14ac:dyDescent="0.25">
      <c r="C62" s="82"/>
      <c r="D62" s="82"/>
      <c r="E62" s="82"/>
      <c r="F62" s="82"/>
      <c r="G62" s="82"/>
      <c r="H62" s="82"/>
      <c r="I62" s="82"/>
      <c r="J62" s="82"/>
      <c r="K62" s="82"/>
      <c r="L62" s="82"/>
      <c r="M62" s="82"/>
      <c r="N62" s="73"/>
    </row>
    <row r="63" spans="3:14" x14ac:dyDescent="0.25">
      <c r="C63" s="82"/>
      <c r="D63" s="82"/>
      <c r="E63" s="82"/>
      <c r="F63" s="82"/>
      <c r="G63" s="82"/>
      <c r="H63" s="82"/>
      <c r="I63" s="82"/>
      <c r="J63" s="82"/>
      <c r="K63" s="82"/>
      <c r="L63" s="82"/>
      <c r="M63" s="82"/>
      <c r="N63" s="73"/>
    </row>
    <row r="64" spans="3:14" x14ac:dyDescent="0.25">
      <c r="C64" s="82"/>
      <c r="D64" s="82"/>
      <c r="E64" s="82"/>
      <c r="F64" s="82"/>
      <c r="G64" s="82"/>
      <c r="H64" s="82"/>
      <c r="I64" s="82"/>
      <c r="J64" s="82"/>
      <c r="K64" s="82"/>
      <c r="L64" s="82"/>
      <c r="M64" s="82"/>
      <c r="N64" s="73"/>
    </row>
    <row r="65" spans="3:14" x14ac:dyDescent="0.25">
      <c r="C65" s="82"/>
      <c r="D65" s="82"/>
      <c r="E65" s="82"/>
      <c r="F65" s="82"/>
      <c r="G65" s="82"/>
      <c r="H65" s="82"/>
      <c r="I65" s="82"/>
      <c r="J65" s="82"/>
      <c r="K65" s="82"/>
      <c r="L65" s="82"/>
      <c r="M65" s="82"/>
      <c r="N65" s="73"/>
    </row>
    <row r="66" spans="3:14" x14ac:dyDescent="0.25"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73"/>
    </row>
    <row r="67" spans="3:14" x14ac:dyDescent="0.25"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73"/>
    </row>
    <row r="68" spans="3:14" x14ac:dyDescent="0.25"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73"/>
    </row>
    <row r="69" spans="3:14" x14ac:dyDescent="0.25"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73"/>
    </row>
    <row r="70" spans="3:14" x14ac:dyDescent="0.25">
      <c r="C70" s="82"/>
      <c r="D70" s="82"/>
      <c r="E70" s="82"/>
      <c r="F70" s="82"/>
      <c r="G70" s="82"/>
      <c r="H70" s="82"/>
      <c r="I70" s="82"/>
      <c r="J70" s="82"/>
      <c r="K70" s="82"/>
      <c r="L70" s="82"/>
      <c r="M70" s="82"/>
      <c r="N70" s="73"/>
    </row>
    <row r="71" spans="3:14" x14ac:dyDescent="0.25">
      <c r="C71" s="82"/>
      <c r="D71" s="82"/>
      <c r="E71" s="82"/>
      <c r="F71" s="82"/>
      <c r="G71" s="82"/>
      <c r="H71" s="82"/>
      <c r="I71" s="82"/>
      <c r="J71" s="82"/>
      <c r="K71" s="82"/>
      <c r="L71" s="82"/>
      <c r="M71" s="82"/>
      <c r="N71" s="73"/>
    </row>
    <row r="72" spans="3:14" x14ac:dyDescent="0.25"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73"/>
    </row>
    <row r="73" spans="3:14" x14ac:dyDescent="0.25"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73"/>
    </row>
    <row r="74" spans="3:14" x14ac:dyDescent="0.25"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73"/>
    </row>
    <row r="75" spans="3:14" x14ac:dyDescent="0.25">
      <c r="C75" s="82"/>
      <c r="D75" s="82"/>
      <c r="E75" s="82"/>
      <c r="F75" s="82"/>
      <c r="G75" s="82"/>
      <c r="H75" s="82"/>
      <c r="I75" s="82"/>
      <c r="J75" s="82"/>
      <c r="K75" s="82"/>
      <c r="L75" s="82"/>
      <c r="M75" s="82"/>
      <c r="N75" s="73"/>
    </row>
    <row r="76" spans="3:14" x14ac:dyDescent="0.25">
      <c r="C76" s="82"/>
      <c r="D76" s="82"/>
      <c r="E76" s="82"/>
      <c r="F76" s="82"/>
      <c r="G76" s="82"/>
      <c r="H76" s="82"/>
      <c r="I76" s="82"/>
      <c r="J76" s="82"/>
      <c r="K76" s="82"/>
      <c r="L76" s="82"/>
      <c r="M76" s="82"/>
      <c r="N76" s="73"/>
    </row>
    <row r="77" spans="3:14" x14ac:dyDescent="0.25"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73"/>
    </row>
    <row r="78" spans="3:14" x14ac:dyDescent="0.25"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73"/>
    </row>
  </sheetData>
  <mergeCells count="3">
    <mergeCell ref="D5:K5"/>
    <mergeCell ref="C1:L1"/>
    <mergeCell ref="C2:L2"/>
  </mergeCells>
  <conditionalFormatting sqref="D6:K53">
    <cfRule type="expression" dxfId="3" priority="4">
      <formula>AND($D6&lt;&gt;"",$J6&lt;&gt;"")</formula>
    </cfRule>
    <cfRule type="expression" dxfId="2" priority="3">
      <formula>AND($D6&lt;&gt;"",$K6&lt;&gt;"")</formula>
    </cfRule>
  </conditionalFormatting>
  <conditionalFormatting sqref="D7:K53">
    <cfRule type="expression" dxfId="1" priority="2">
      <formula>$B$5=ROW()</formula>
    </cfRule>
  </conditionalFormatting>
  <conditionalFormatting sqref="D6:K52">
    <cfRule type="expression" dxfId="0" priority="1">
      <formula>AND($D6&lt;&gt;"",$J6="")</formula>
    </cfRule>
  </conditionalFormatting>
  <dataValidations count="1">
    <dataValidation type="list" allowBlank="1" showInputMessage="1" showErrorMessage="1" sqref="E3">
      <formula1>DateRange</formula1>
    </dataValidation>
  </dataValidations>
  <pageMargins left="0.45" right="0.26" top="0.75" bottom="0.75" header="0.4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2" r:id="rId4" name="HideDetails">
          <controlPr defaultSize="0" autoLine="0" r:id="rId5">
            <anchor moveWithCells="1">
              <from>
                <xdr:col>9</xdr:col>
                <xdr:colOff>581025</xdr:colOff>
                <xdr:row>11</xdr:row>
                <xdr:rowOff>104775</xdr:rowOff>
              </from>
              <to>
                <xdr:col>10</xdr:col>
                <xdr:colOff>504825</xdr:colOff>
                <xdr:row>15</xdr:row>
                <xdr:rowOff>104775</xdr:rowOff>
              </to>
            </anchor>
          </controlPr>
        </control>
      </mc:Choice>
      <mc:Fallback>
        <control shapeId="1062" r:id="rId4" name="HideDetails"/>
      </mc:Fallback>
    </mc:AlternateContent>
    <mc:AlternateContent xmlns:mc="http://schemas.openxmlformats.org/markup-compatibility/2006">
      <mc:Choice Requires="x14">
        <control shapeId="1061" r:id="rId6" name="ShowDetails">
          <controlPr defaultSize="0" autoLine="0" r:id="rId7">
            <anchor moveWithCells="1">
              <from>
                <xdr:col>9</xdr:col>
                <xdr:colOff>809625</xdr:colOff>
                <xdr:row>12</xdr:row>
                <xdr:rowOff>133350</xdr:rowOff>
              </from>
              <to>
                <xdr:col>10</xdr:col>
                <xdr:colOff>285750</xdr:colOff>
                <xdr:row>14</xdr:row>
                <xdr:rowOff>66675</xdr:rowOff>
              </to>
            </anchor>
          </controlPr>
        </control>
      </mc:Choice>
      <mc:Fallback>
        <control shapeId="1061" r:id="rId6" name="ShowDetail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Z367"/>
  <sheetViews>
    <sheetView topLeftCell="T1" zoomScale="55" zoomScaleNormal="55" workbookViewId="0">
      <selection activeCell="AP9" sqref="AP9"/>
    </sheetView>
  </sheetViews>
  <sheetFormatPr defaultRowHeight="15" x14ac:dyDescent="0.25"/>
  <cols>
    <col min="1" max="1" width="17.28515625" bestFit="1" customWidth="1"/>
    <col min="2" max="2" width="21" style="6" customWidth="1"/>
    <col min="3" max="3" width="19" customWidth="1"/>
    <col min="4" max="4" width="33.140625" style="7" customWidth="1"/>
    <col min="5" max="5" width="12.85546875" style="8" bestFit="1" customWidth="1"/>
    <col min="6" max="6" width="14.42578125" style="5" bestFit="1" customWidth="1"/>
    <col min="7" max="11" width="2.28515625" customWidth="1"/>
    <col min="12" max="12" width="19.140625" bestFit="1" customWidth="1"/>
    <col min="13" max="13" width="13.85546875" customWidth="1"/>
    <col min="14" max="14" width="17.5703125" customWidth="1"/>
    <col min="15" max="15" width="4.7109375" customWidth="1"/>
    <col min="16" max="16" width="11.85546875" customWidth="1"/>
    <col min="17" max="17" width="13.42578125" bestFit="1" customWidth="1"/>
    <col min="18" max="26" width="1.7109375" customWidth="1"/>
    <col min="27" max="28" width="15.85546875" bestFit="1" customWidth="1"/>
    <col min="29" max="29" width="20.5703125" customWidth="1"/>
    <col min="30" max="32" width="5.85546875" customWidth="1"/>
    <col min="33" max="35" width="3.28515625" customWidth="1"/>
    <col min="36" max="36" width="15.85546875" bestFit="1" customWidth="1"/>
    <col min="37" max="37" width="15.7109375" customWidth="1"/>
    <col min="38" max="38" width="16.85546875" customWidth="1"/>
    <col min="39" max="39" width="13.42578125" customWidth="1"/>
    <col min="40" max="40" width="12.85546875" bestFit="1" customWidth="1"/>
    <col min="42" max="42" width="15.85546875" bestFit="1" customWidth="1"/>
    <col min="43" max="43" width="25.140625" customWidth="1"/>
    <col min="44" max="44" width="11.85546875" customWidth="1"/>
    <col min="45" max="45" width="11.140625" bestFit="1" customWidth="1"/>
    <col min="46" max="46" width="10.28515625" customWidth="1"/>
    <col min="47" max="47" width="12.85546875" bestFit="1" customWidth="1"/>
    <col min="51" max="51" width="15.85546875" bestFit="1" customWidth="1"/>
    <col min="52" max="52" width="15.7109375" bestFit="1" customWidth="1"/>
  </cols>
  <sheetData>
    <row r="1" spans="1:52" ht="25.5" x14ac:dyDescent="0.35">
      <c r="A1" s="1"/>
      <c r="B1" s="65" t="s">
        <v>0</v>
      </c>
      <c r="C1" s="66"/>
      <c r="D1" s="66"/>
      <c r="E1" s="66"/>
      <c r="F1" s="67"/>
      <c r="L1" s="68" t="s">
        <v>1</v>
      </c>
      <c r="M1" s="69"/>
      <c r="N1" s="70"/>
      <c r="P1" s="71" t="s">
        <v>146</v>
      </c>
      <c r="Q1" s="72"/>
      <c r="AA1" s="61" t="s">
        <v>2</v>
      </c>
      <c r="AB1" s="62"/>
      <c r="AC1" s="62"/>
      <c r="AJ1" s="68" t="s">
        <v>3</v>
      </c>
      <c r="AK1" s="69"/>
      <c r="AL1" s="69"/>
      <c r="AM1" s="69"/>
      <c r="AN1" s="70"/>
      <c r="AP1" s="63" t="s">
        <v>157</v>
      </c>
      <c r="AQ1" s="64"/>
      <c r="AR1" s="64"/>
      <c r="AS1" s="2"/>
      <c r="AT1" s="2"/>
      <c r="AU1" s="2"/>
      <c r="AV1" s="2"/>
      <c r="AW1" s="2"/>
      <c r="AX1" s="2"/>
      <c r="AY1" s="2"/>
    </row>
    <row r="2" spans="1:52" x14ac:dyDescent="0.25">
      <c r="B2" s="22" t="s">
        <v>4</v>
      </c>
      <c r="C2" s="23" t="s">
        <v>5</v>
      </c>
      <c r="D2" s="23" t="s">
        <v>6</v>
      </c>
      <c r="E2" s="24" t="s">
        <v>7</v>
      </c>
      <c r="F2" s="25" t="s">
        <v>8</v>
      </c>
      <c r="L2" s="33" t="s">
        <v>9</v>
      </c>
      <c r="M2" s="34" t="s">
        <v>10</v>
      </c>
      <c r="N2" s="35" t="s">
        <v>147</v>
      </c>
      <c r="P2" s="36" t="s">
        <v>11</v>
      </c>
      <c r="Q2" s="37">
        <f ca="1">SUMIF(M3:M17,P2,N3:N17)</f>
        <v>76985</v>
      </c>
      <c r="AA2" s="45" t="s">
        <v>4</v>
      </c>
      <c r="AB2" s="46" t="s">
        <v>4</v>
      </c>
      <c r="AC2" s="46" t="s">
        <v>5</v>
      </c>
      <c r="AJ2" s="33" t="s">
        <v>4</v>
      </c>
      <c r="AK2" s="34" t="s">
        <v>5</v>
      </c>
      <c r="AL2" s="34" t="s">
        <v>6</v>
      </c>
      <c r="AM2" s="34" t="s">
        <v>7</v>
      </c>
      <c r="AN2" s="35" t="s">
        <v>8</v>
      </c>
      <c r="AP2" s="33" t="s">
        <v>4</v>
      </c>
      <c r="AQ2" s="34" t="s">
        <v>6</v>
      </c>
      <c r="AR2" s="34" t="s">
        <v>7</v>
      </c>
      <c r="AS2" s="2"/>
      <c r="AT2" s="2"/>
      <c r="AU2" s="2"/>
      <c r="AV2" s="2"/>
      <c r="AW2" s="2"/>
      <c r="AX2" s="2"/>
      <c r="AY2" s="2"/>
    </row>
    <row r="3" spans="1:52" ht="15.75" thickBot="1" x14ac:dyDescent="0.3">
      <c r="A3" s="44"/>
      <c r="B3" s="9">
        <v>43831</v>
      </c>
      <c r="C3" s="10" t="s">
        <v>12</v>
      </c>
      <c r="D3" s="11" t="s">
        <v>13</v>
      </c>
      <c r="E3" s="12">
        <v>4569</v>
      </c>
      <c r="F3" s="13" t="s">
        <v>11</v>
      </c>
      <c r="L3" s="26" t="s">
        <v>12</v>
      </c>
      <c r="M3" s="27" t="s">
        <v>11</v>
      </c>
      <c r="N3" s="28">
        <f ca="1">SUMIF(Results_Account,L3,Results_Amount)</f>
        <v>29595</v>
      </c>
      <c r="P3" s="36" t="s">
        <v>14</v>
      </c>
      <c r="Q3" s="37">
        <f ca="1">SUMIF(M4:M18,P3,N4:N18)</f>
        <v>17129</v>
      </c>
      <c r="AA3" s="47" t="str">
        <f>"&gt;="&amp;'Income Statement'!G3</f>
        <v>&gt;=43831</v>
      </c>
      <c r="AB3" s="48" t="str">
        <f>"&lt;="&amp;'Income Statement'!I3</f>
        <v>&lt;=43921</v>
      </c>
      <c r="AC3" s="49" t="str">
        <f>INDEX('Income Statement'!E1:E999,'Income Statement'!B5,1)</f>
        <v>Technician Labor</v>
      </c>
      <c r="AJ3" s="9">
        <v>43831</v>
      </c>
      <c r="AK3" s="10" t="s">
        <v>12</v>
      </c>
      <c r="AL3" s="11" t="s">
        <v>13</v>
      </c>
      <c r="AM3" s="12">
        <v>4569</v>
      </c>
      <c r="AN3" s="13" t="s">
        <v>11</v>
      </c>
      <c r="AP3" s="9">
        <v>43836</v>
      </c>
      <c r="AQ3" s="11" t="s">
        <v>27</v>
      </c>
      <c r="AR3" s="12">
        <v>519</v>
      </c>
      <c r="AS3" s="2"/>
      <c r="AT3" s="2"/>
      <c r="AU3" s="2"/>
      <c r="AV3" s="2"/>
      <c r="AW3" s="2"/>
      <c r="AX3" s="2"/>
      <c r="AY3" s="3"/>
      <c r="AZ3" s="4"/>
    </row>
    <row r="4" spans="1:52" x14ac:dyDescent="0.25">
      <c r="A4" s="44"/>
      <c r="B4" s="9">
        <v>43832</v>
      </c>
      <c r="C4" s="10" t="s">
        <v>15</v>
      </c>
      <c r="D4" s="11" t="s">
        <v>16</v>
      </c>
      <c r="E4" s="12">
        <v>3303</v>
      </c>
      <c r="F4" s="13" t="s">
        <v>11</v>
      </c>
      <c r="L4" s="26" t="s">
        <v>15</v>
      </c>
      <c r="M4" s="29" t="s">
        <v>11</v>
      </c>
      <c r="N4" s="28">
        <f t="shared" ref="N3:N17" ca="1" si="0">SUMIF(Results_Account,L4,Results_Amount)</f>
        <v>26496</v>
      </c>
      <c r="P4" s="36" t="s">
        <v>17</v>
      </c>
      <c r="Q4" s="37">
        <f ca="1">Q2-Q3</f>
        <v>59856</v>
      </c>
      <c r="AA4" s="85"/>
      <c r="AJ4" s="9">
        <v>43832</v>
      </c>
      <c r="AK4" s="10" t="s">
        <v>15</v>
      </c>
      <c r="AL4" s="11" t="s">
        <v>16</v>
      </c>
      <c r="AM4" s="12">
        <v>3303</v>
      </c>
      <c r="AN4" s="13" t="s">
        <v>11</v>
      </c>
      <c r="AP4" s="9">
        <v>43851</v>
      </c>
      <c r="AQ4" s="11" t="s">
        <v>27</v>
      </c>
      <c r="AR4" s="12">
        <v>29</v>
      </c>
      <c r="AS4" s="2"/>
      <c r="AT4" s="2"/>
      <c r="AU4" s="2"/>
      <c r="AV4" s="2"/>
      <c r="AW4" s="2"/>
      <c r="AX4" s="2"/>
      <c r="AY4" s="2"/>
    </row>
    <row r="5" spans="1:52" ht="15.75" thickBot="1" x14ac:dyDescent="0.3">
      <c r="A5" s="44"/>
      <c r="B5" s="9">
        <v>43833</v>
      </c>
      <c r="C5" s="10" t="s">
        <v>18</v>
      </c>
      <c r="D5" s="11" t="s">
        <v>19</v>
      </c>
      <c r="E5" s="12">
        <v>1198</v>
      </c>
      <c r="F5" s="13" t="s">
        <v>11</v>
      </c>
      <c r="L5" s="26" t="s">
        <v>18</v>
      </c>
      <c r="M5" s="29" t="s">
        <v>11</v>
      </c>
      <c r="N5" s="28">
        <f t="shared" ca="1" si="0"/>
        <v>10376</v>
      </c>
      <c r="P5" s="38" t="s">
        <v>20</v>
      </c>
      <c r="Q5" s="39">
        <f ca="1">SUMIF(M6:M20,P5,N6:N20)</f>
        <v>40906</v>
      </c>
      <c r="AJ5" s="9">
        <v>43833</v>
      </c>
      <c r="AK5" s="10" t="s">
        <v>18</v>
      </c>
      <c r="AL5" s="11" t="s">
        <v>19</v>
      </c>
      <c r="AM5" s="12">
        <v>1198</v>
      </c>
      <c r="AN5" s="13" t="s">
        <v>11</v>
      </c>
      <c r="AP5" s="9">
        <v>43866</v>
      </c>
      <c r="AQ5" s="11" t="s">
        <v>27</v>
      </c>
      <c r="AR5" s="12">
        <v>369</v>
      </c>
      <c r="AS5" s="2"/>
      <c r="AT5" s="2"/>
      <c r="AU5" s="2"/>
      <c r="AV5" s="2"/>
      <c r="AW5" s="2"/>
      <c r="AX5" s="2"/>
      <c r="AY5" s="2"/>
    </row>
    <row r="6" spans="1:52" ht="15.75" thickBot="1" x14ac:dyDescent="0.3">
      <c r="A6" s="44"/>
      <c r="B6" s="9">
        <v>43834</v>
      </c>
      <c r="C6" s="10" t="s">
        <v>21</v>
      </c>
      <c r="D6" s="11" t="s">
        <v>22</v>
      </c>
      <c r="E6" s="12">
        <v>4385</v>
      </c>
      <c r="F6" s="13" t="s">
        <v>11</v>
      </c>
      <c r="L6" s="26" t="s">
        <v>21</v>
      </c>
      <c r="M6" s="27" t="s">
        <v>11</v>
      </c>
      <c r="N6" s="28">
        <f t="shared" ca="1" si="0"/>
        <v>10518</v>
      </c>
      <c r="P6" s="40" t="s">
        <v>23</v>
      </c>
      <c r="Q6" s="41">
        <f ca="1">Q4-Q5</f>
        <v>18950</v>
      </c>
      <c r="AJ6" s="9">
        <v>43834</v>
      </c>
      <c r="AK6" s="10" t="s">
        <v>21</v>
      </c>
      <c r="AL6" s="11" t="s">
        <v>22</v>
      </c>
      <c r="AM6" s="12">
        <v>4385</v>
      </c>
      <c r="AN6" s="13" t="s">
        <v>11</v>
      </c>
      <c r="AP6" s="9">
        <v>43881</v>
      </c>
      <c r="AQ6" s="11" t="s">
        <v>27</v>
      </c>
      <c r="AR6" s="12">
        <v>1259</v>
      </c>
    </row>
    <row r="7" spans="1:52" x14ac:dyDescent="0.25">
      <c r="A7" s="44"/>
      <c r="B7" s="9">
        <v>43835</v>
      </c>
      <c r="C7" s="10" t="s">
        <v>24</v>
      </c>
      <c r="D7" s="11" t="s">
        <v>25</v>
      </c>
      <c r="E7" s="12">
        <v>1681</v>
      </c>
      <c r="F7" s="13" t="s">
        <v>14</v>
      </c>
      <c r="L7" s="26" t="s">
        <v>24</v>
      </c>
      <c r="M7" s="27" t="s">
        <v>14</v>
      </c>
      <c r="N7" s="28">
        <f t="shared" ca="1" si="0"/>
        <v>6785</v>
      </c>
      <c r="AJ7" s="9">
        <v>43835</v>
      </c>
      <c r="AK7" s="10" t="s">
        <v>24</v>
      </c>
      <c r="AL7" s="11" t="s">
        <v>25</v>
      </c>
      <c r="AM7" s="12">
        <v>1681</v>
      </c>
      <c r="AN7" s="13" t="s">
        <v>14</v>
      </c>
      <c r="AP7" s="9">
        <v>43896</v>
      </c>
      <c r="AQ7" s="11" t="s">
        <v>27</v>
      </c>
      <c r="AR7" s="12">
        <v>432</v>
      </c>
    </row>
    <row r="8" spans="1:52" x14ac:dyDescent="0.25">
      <c r="A8" s="44"/>
      <c r="B8" s="9">
        <v>43836</v>
      </c>
      <c r="C8" s="10" t="s">
        <v>26</v>
      </c>
      <c r="D8" s="11" t="s">
        <v>27</v>
      </c>
      <c r="E8" s="12">
        <v>519</v>
      </c>
      <c r="F8" s="13" t="s">
        <v>14</v>
      </c>
      <c r="L8" s="26" t="s">
        <v>26</v>
      </c>
      <c r="M8" s="27" t="s">
        <v>14</v>
      </c>
      <c r="N8" s="28">
        <f t="shared" ca="1" si="0"/>
        <v>4406</v>
      </c>
      <c r="AJ8" s="9">
        <v>43836</v>
      </c>
      <c r="AK8" s="10" t="s">
        <v>26</v>
      </c>
      <c r="AL8" s="11" t="s">
        <v>27</v>
      </c>
      <c r="AM8" s="12">
        <v>519</v>
      </c>
      <c r="AN8" s="13" t="s">
        <v>14</v>
      </c>
      <c r="AP8" s="9">
        <v>43911</v>
      </c>
      <c r="AQ8" s="11" t="s">
        <v>27</v>
      </c>
      <c r="AR8" s="12">
        <v>1798</v>
      </c>
    </row>
    <row r="9" spans="1:52" x14ac:dyDescent="0.25">
      <c r="A9" s="44"/>
      <c r="B9" s="9">
        <v>43837</v>
      </c>
      <c r="C9" s="10" t="s">
        <v>28</v>
      </c>
      <c r="D9" s="11" t="s">
        <v>29</v>
      </c>
      <c r="E9" s="12">
        <v>813</v>
      </c>
      <c r="F9" s="13" t="s">
        <v>14</v>
      </c>
      <c r="L9" s="26" t="s">
        <v>28</v>
      </c>
      <c r="M9" s="27" t="s">
        <v>14</v>
      </c>
      <c r="N9" s="28">
        <f t="shared" ca="1" si="0"/>
        <v>5938</v>
      </c>
      <c r="AJ9" s="9">
        <v>43837</v>
      </c>
      <c r="AK9" s="10" t="s">
        <v>28</v>
      </c>
      <c r="AL9" s="11" t="s">
        <v>29</v>
      </c>
      <c r="AM9" s="12">
        <v>813</v>
      </c>
      <c r="AN9" s="13" t="s">
        <v>14</v>
      </c>
      <c r="AP9" s="9"/>
      <c r="AQ9" s="11"/>
      <c r="AR9" s="12"/>
    </row>
    <row r="10" spans="1:52" x14ac:dyDescent="0.25">
      <c r="A10" s="44"/>
      <c r="B10" s="9">
        <v>43838</v>
      </c>
      <c r="C10" s="10" t="s">
        <v>31</v>
      </c>
      <c r="D10" s="11" t="s">
        <v>32</v>
      </c>
      <c r="E10" s="12">
        <v>847</v>
      </c>
      <c r="F10" s="13" t="s">
        <v>20</v>
      </c>
      <c r="L10" s="26" t="s">
        <v>31</v>
      </c>
      <c r="M10" s="27" t="s">
        <v>20</v>
      </c>
      <c r="N10" s="28">
        <f t="shared" ca="1" si="0"/>
        <v>4276</v>
      </c>
      <c r="AJ10" s="9">
        <v>43838</v>
      </c>
      <c r="AK10" s="10" t="s">
        <v>31</v>
      </c>
      <c r="AL10" s="11" t="s">
        <v>32</v>
      </c>
      <c r="AM10" s="12">
        <v>847</v>
      </c>
      <c r="AN10" s="13" t="s">
        <v>20</v>
      </c>
      <c r="AP10" s="9"/>
      <c r="AQ10" s="11"/>
      <c r="AR10" s="12"/>
    </row>
    <row r="11" spans="1:52" x14ac:dyDescent="0.25">
      <c r="A11" s="44"/>
      <c r="B11" s="9">
        <v>43839</v>
      </c>
      <c r="C11" s="10" t="s">
        <v>34</v>
      </c>
      <c r="D11" s="11" t="s">
        <v>35</v>
      </c>
      <c r="E11" s="12">
        <v>419</v>
      </c>
      <c r="F11" s="13" t="s">
        <v>20</v>
      </c>
      <c r="L11" s="26" t="s">
        <v>34</v>
      </c>
      <c r="M11" s="27" t="s">
        <v>20</v>
      </c>
      <c r="N11" s="28">
        <f t="shared" ca="1" si="0"/>
        <v>5137</v>
      </c>
      <c r="AJ11" s="9">
        <v>43839</v>
      </c>
      <c r="AK11" s="10" t="s">
        <v>34</v>
      </c>
      <c r="AL11" s="11" t="s">
        <v>35</v>
      </c>
      <c r="AM11" s="12">
        <v>419</v>
      </c>
      <c r="AN11" s="13" t="s">
        <v>20</v>
      </c>
      <c r="AP11" s="9"/>
      <c r="AQ11" s="11"/>
      <c r="AR11" s="12"/>
    </row>
    <row r="12" spans="1:52" x14ac:dyDescent="0.25">
      <c r="A12" s="44"/>
      <c r="B12" s="9">
        <v>43840</v>
      </c>
      <c r="C12" s="14" t="s">
        <v>37</v>
      </c>
      <c r="D12" s="11" t="s">
        <v>38</v>
      </c>
      <c r="E12" s="12">
        <v>897</v>
      </c>
      <c r="F12" s="15" t="s">
        <v>20</v>
      </c>
      <c r="L12" s="26" t="s">
        <v>37</v>
      </c>
      <c r="M12" s="27" t="s">
        <v>20</v>
      </c>
      <c r="N12" s="28">
        <f t="shared" ca="1" si="0"/>
        <v>4127</v>
      </c>
      <c r="AJ12" s="9">
        <v>43840</v>
      </c>
      <c r="AK12" s="14" t="s">
        <v>37</v>
      </c>
      <c r="AL12" s="11" t="s">
        <v>38</v>
      </c>
      <c r="AM12" s="12">
        <v>897</v>
      </c>
      <c r="AN12" s="15" t="s">
        <v>20</v>
      </c>
      <c r="AP12" s="9"/>
      <c r="AQ12" s="11"/>
      <c r="AR12" s="12"/>
    </row>
    <row r="13" spans="1:52" x14ac:dyDescent="0.25">
      <c r="A13" s="44"/>
      <c r="B13" s="9">
        <v>43841</v>
      </c>
      <c r="C13" s="14" t="s">
        <v>40</v>
      </c>
      <c r="D13" s="11" t="s">
        <v>41</v>
      </c>
      <c r="E13" s="12">
        <v>932</v>
      </c>
      <c r="F13" s="15" t="s">
        <v>20</v>
      </c>
      <c r="L13" s="26" t="s">
        <v>40</v>
      </c>
      <c r="M13" s="27" t="s">
        <v>20</v>
      </c>
      <c r="N13" s="28">
        <f t="shared" ca="1" si="0"/>
        <v>5652</v>
      </c>
      <c r="AJ13" s="9">
        <v>43841</v>
      </c>
      <c r="AK13" s="14" t="s">
        <v>40</v>
      </c>
      <c r="AL13" s="11" t="s">
        <v>41</v>
      </c>
      <c r="AM13" s="12">
        <v>932</v>
      </c>
      <c r="AN13" s="15" t="s">
        <v>20</v>
      </c>
      <c r="AP13" s="9"/>
      <c r="AQ13" s="11"/>
      <c r="AR13" s="12"/>
    </row>
    <row r="14" spans="1:52" x14ac:dyDescent="0.25">
      <c r="A14" s="44"/>
      <c r="B14" s="9">
        <v>43842</v>
      </c>
      <c r="C14" s="14" t="s">
        <v>43</v>
      </c>
      <c r="D14" s="11" t="s">
        <v>44</v>
      </c>
      <c r="E14" s="12">
        <v>233</v>
      </c>
      <c r="F14" s="15" t="s">
        <v>20</v>
      </c>
      <c r="L14" s="26" t="s">
        <v>43</v>
      </c>
      <c r="M14" s="27" t="s">
        <v>20</v>
      </c>
      <c r="N14" s="28">
        <f t="shared" ca="1" si="0"/>
        <v>5107</v>
      </c>
      <c r="AJ14" s="9">
        <v>43842</v>
      </c>
      <c r="AK14" s="14" t="s">
        <v>43</v>
      </c>
      <c r="AL14" s="11" t="s">
        <v>44</v>
      </c>
      <c r="AM14" s="12">
        <v>233</v>
      </c>
      <c r="AN14" s="15" t="s">
        <v>20</v>
      </c>
      <c r="AP14" s="9"/>
      <c r="AQ14" s="11"/>
      <c r="AR14" s="12"/>
    </row>
    <row r="15" spans="1:52" x14ac:dyDescent="0.25">
      <c r="A15" s="44"/>
      <c r="B15" s="9">
        <v>43843</v>
      </c>
      <c r="C15" s="14" t="s">
        <v>46</v>
      </c>
      <c r="D15" s="11" t="s">
        <v>47</v>
      </c>
      <c r="E15" s="12">
        <v>517</v>
      </c>
      <c r="F15" s="15" t="s">
        <v>20</v>
      </c>
      <c r="L15" s="26" t="s">
        <v>46</v>
      </c>
      <c r="M15" s="27" t="s">
        <v>20</v>
      </c>
      <c r="N15" s="28">
        <f t="shared" ca="1" si="0"/>
        <v>4159</v>
      </c>
      <c r="AJ15" s="9">
        <v>43843</v>
      </c>
      <c r="AK15" s="14" t="s">
        <v>46</v>
      </c>
      <c r="AL15" s="11" t="s">
        <v>47</v>
      </c>
      <c r="AM15" s="12">
        <v>517</v>
      </c>
      <c r="AN15" s="15" t="s">
        <v>20</v>
      </c>
      <c r="AP15" s="9"/>
      <c r="AQ15" s="11"/>
      <c r="AR15" s="12"/>
    </row>
    <row r="16" spans="1:52" x14ac:dyDescent="0.25">
      <c r="A16" s="44"/>
      <c r="B16" s="9">
        <v>43844</v>
      </c>
      <c r="C16" s="14" t="s">
        <v>49</v>
      </c>
      <c r="D16" s="11" t="s">
        <v>50</v>
      </c>
      <c r="E16" s="12">
        <v>296</v>
      </c>
      <c r="F16" s="15" t="s">
        <v>20</v>
      </c>
      <c r="L16" s="26" t="s">
        <v>49</v>
      </c>
      <c r="M16" s="27" t="s">
        <v>20</v>
      </c>
      <c r="N16" s="28">
        <f t="shared" ca="1" si="0"/>
        <v>4697</v>
      </c>
      <c r="AJ16" s="9">
        <v>43844</v>
      </c>
      <c r="AK16" s="14" t="s">
        <v>49</v>
      </c>
      <c r="AL16" s="11" t="s">
        <v>50</v>
      </c>
      <c r="AM16" s="12">
        <v>296</v>
      </c>
      <c r="AN16" s="15" t="s">
        <v>20</v>
      </c>
      <c r="AP16" s="9"/>
      <c r="AQ16" s="11"/>
      <c r="AR16" s="12"/>
    </row>
    <row r="17" spans="1:44" ht="15.75" thickBot="1" x14ac:dyDescent="0.3">
      <c r="A17" s="44"/>
      <c r="B17" s="9">
        <v>43845</v>
      </c>
      <c r="C17" s="14" t="s">
        <v>52</v>
      </c>
      <c r="D17" s="11" t="s">
        <v>53</v>
      </c>
      <c r="E17" s="12">
        <v>745</v>
      </c>
      <c r="F17" s="15" t="s">
        <v>20</v>
      </c>
      <c r="L17" s="30" t="s">
        <v>52</v>
      </c>
      <c r="M17" s="31" t="s">
        <v>20</v>
      </c>
      <c r="N17" s="32">
        <f t="shared" ca="1" si="0"/>
        <v>7751</v>
      </c>
      <c r="AJ17" s="9">
        <v>43845</v>
      </c>
      <c r="AK17" s="14" t="s">
        <v>52</v>
      </c>
      <c r="AL17" s="11" t="s">
        <v>53</v>
      </c>
      <c r="AM17" s="12">
        <v>745</v>
      </c>
      <c r="AN17" s="15" t="s">
        <v>20</v>
      </c>
      <c r="AP17" s="9"/>
      <c r="AQ17" s="11"/>
      <c r="AR17" s="12"/>
    </row>
    <row r="18" spans="1:44" x14ac:dyDescent="0.25">
      <c r="A18" s="44"/>
      <c r="B18" s="9">
        <v>43846</v>
      </c>
      <c r="C18" s="10" t="s">
        <v>12</v>
      </c>
      <c r="D18" s="11" t="s">
        <v>13</v>
      </c>
      <c r="E18" s="12">
        <v>4794</v>
      </c>
      <c r="F18" s="13" t="s">
        <v>11</v>
      </c>
      <c r="AJ18" s="9">
        <v>43846</v>
      </c>
      <c r="AK18" s="10" t="s">
        <v>12</v>
      </c>
      <c r="AL18" s="11" t="s">
        <v>13</v>
      </c>
      <c r="AM18" s="12">
        <v>4794</v>
      </c>
      <c r="AN18" s="13" t="s">
        <v>11</v>
      </c>
      <c r="AP18" s="9"/>
      <c r="AQ18" s="11"/>
      <c r="AR18" s="12"/>
    </row>
    <row r="19" spans="1:44" x14ac:dyDescent="0.25">
      <c r="A19" s="44"/>
      <c r="B19" s="9">
        <v>43847</v>
      </c>
      <c r="C19" s="10" t="s">
        <v>15</v>
      </c>
      <c r="D19" s="11" t="s">
        <v>16</v>
      </c>
      <c r="E19" s="16">
        <v>4924</v>
      </c>
      <c r="F19" s="13" t="s">
        <v>11</v>
      </c>
      <c r="AJ19" s="9">
        <v>43847</v>
      </c>
      <c r="AK19" s="10" t="s">
        <v>15</v>
      </c>
      <c r="AL19" s="11" t="s">
        <v>16</v>
      </c>
      <c r="AM19" s="16">
        <v>4924</v>
      </c>
      <c r="AN19" s="13" t="s">
        <v>11</v>
      </c>
      <c r="AP19" s="9"/>
      <c r="AQ19" s="11"/>
      <c r="AR19" s="12"/>
    </row>
    <row r="20" spans="1:44" x14ac:dyDescent="0.25">
      <c r="A20" s="44"/>
      <c r="B20" s="9">
        <v>43848</v>
      </c>
      <c r="C20" s="10" t="s">
        <v>18</v>
      </c>
      <c r="D20" s="11" t="s">
        <v>19</v>
      </c>
      <c r="E20" s="12">
        <v>1734</v>
      </c>
      <c r="F20" s="13" t="s">
        <v>11</v>
      </c>
      <c r="AJ20" s="9">
        <v>43848</v>
      </c>
      <c r="AK20" s="10" t="s">
        <v>18</v>
      </c>
      <c r="AL20" s="11" t="s">
        <v>19</v>
      </c>
      <c r="AM20" s="12">
        <v>1734</v>
      </c>
      <c r="AN20" s="13" t="s">
        <v>11</v>
      </c>
      <c r="AP20" s="9"/>
      <c r="AQ20" s="11"/>
      <c r="AR20" s="12"/>
    </row>
    <row r="21" spans="1:44" ht="15.75" thickBot="1" x14ac:dyDescent="0.3">
      <c r="A21" s="44"/>
      <c r="B21" s="9">
        <v>43849</v>
      </c>
      <c r="C21" s="10" t="s">
        <v>21</v>
      </c>
      <c r="D21" s="11" t="s">
        <v>22</v>
      </c>
      <c r="E21" s="12">
        <v>379</v>
      </c>
      <c r="F21" s="13" t="s">
        <v>11</v>
      </c>
      <c r="AJ21" s="9">
        <v>43849</v>
      </c>
      <c r="AK21" s="10" t="s">
        <v>21</v>
      </c>
      <c r="AL21" s="11" t="s">
        <v>22</v>
      </c>
      <c r="AM21" s="12">
        <v>379</v>
      </c>
      <c r="AN21" s="13" t="s">
        <v>11</v>
      </c>
      <c r="AP21" s="9"/>
      <c r="AQ21" s="11"/>
      <c r="AR21" s="12"/>
    </row>
    <row r="22" spans="1:44" ht="15.75" x14ac:dyDescent="0.25">
      <c r="A22" s="44"/>
      <c r="B22" s="9">
        <v>43850</v>
      </c>
      <c r="C22" s="10" t="s">
        <v>24</v>
      </c>
      <c r="D22" s="11" t="s">
        <v>25</v>
      </c>
      <c r="E22" s="12">
        <v>1436</v>
      </c>
      <c r="F22" s="13" t="s">
        <v>14</v>
      </c>
      <c r="L22" s="58" t="s">
        <v>156</v>
      </c>
      <c r="M22" s="59"/>
      <c r="N22" s="60"/>
      <c r="AJ22" s="9">
        <v>43850</v>
      </c>
      <c r="AK22" s="10" t="s">
        <v>24</v>
      </c>
      <c r="AL22" s="11" t="s">
        <v>25</v>
      </c>
      <c r="AM22" s="12">
        <v>1436</v>
      </c>
      <c r="AN22" s="13" t="s">
        <v>14</v>
      </c>
      <c r="AP22" s="9"/>
      <c r="AQ22" s="11"/>
      <c r="AR22" s="12"/>
    </row>
    <row r="23" spans="1:44" x14ac:dyDescent="0.25">
      <c r="A23" s="44"/>
      <c r="B23" s="9">
        <v>43851</v>
      </c>
      <c r="C23" s="10" t="s">
        <v>26</v>
      </c>
      <c r="D23" s="11" t="s">
        <v>27</v>
      </c>
      <c r="E23" s="12">
        <v>29</v>
      </c>
      <c r="F23" s="13" t="s">
        <v>14</v>
      </c>
      <c r="L23" s="33" t="s">
        <v>150</v>
      </c>
      <c r="M23" s="34" t="s">
        <v>151</v>
      </c>
      <c r="N23" s="35" t="s">
        <v>152</v>
      </c>
      <c r="AJ23" s="9">
        <v>43851</v>
      </c>
      <c r="AK23" s="10" t="s">
        <v>26</v>
      </c>
      <c r="AL23" s="11" t="s">
        <v>27</v>
      </c>
      <c r="AM23" s="12">
        <v>29</v>
      </c>
      <c r="AN23" s="13" t="s">
        <v>14</v>
      </c>
      <c r="AP23" s="9"/>
      <c r="AQ23" s="11"/>
      <c r="AR23" s="12"/>
    </row>
    <row r="24" spans="1:44" x14ac:dyDescent="0.25">
      <c r="A24" s="44"/>
      <c r="B24" s="9">
        <v>43852</v>
      </c>
      <c r="C24" s="10" t="s">
        <v>28</v>
      </c>
      <c r="D24" s="11" t="s">
        <v>29</v>
      </c>
      <c r="E24" s="12">
        <v>821</v>
      </c>
      <c r="F24" s="13" t="s">
        <v>14</v>
      </c>
      <c r="L24" s="26" t="s">
        <v>153</v>
      </c>
      <c r="M24" s="50">
        <f ca="1">EOMONTH(TODAY(),-1)+1</f>
        <v>44136</v>
      </c>
      <c r="N24" s="51">
        <f ca="1">EOMONTH(TODAY(),0)</f>
        <v>44165</v>
      </c>
      <c r="AJ24" s="9">
        <v>43852</v>
      </c>
      <c r="AK24" s="10" t="s">
        <v>28</v>
      </c>
      <c r="AL24" s="11" t="s">
        <v>29</v>
      </c>
      <c r="AM24" s="12">
        <v>821</v>
      </c>
      <c r="AN24" s="13" t="s">
        <v>14</v>
      </c>
      <c r="AP24" s="9"/>
      <c r="AQ24" s="11"/>
      <c r="AR24" s="12"/>
    </row>
    <row r="25" spans="1:44" x14ac:dyDescent="0.25">
      <c r="A25" s="44"/>
      <c r="B25" s="9">
        <v>43853</v>
      </c>
      <c r="C25" s="10" t="s">
        <v>31</v>
      </c>
      <c r="D25" s="11" t="s">
        <v>32</v>
      </c>
      <c r="E25" s="12">
        <v>868</v>
      </c>
      <c r="F25" s="13" t="s">
        <v>20</v>
      </c>
      <c r="L25" s="26" t="s">
        <v>158</v>
      </c>
      <c r="M25" s="52">
        <f ca="1">DATE(YEAR(TODAY()),1,1)</f>
        <v>43831</v>
      </c>
      <c r="N25" s="51">
        <f ca="1">DATE(YEAR(TODAY()),3,31)</f>
        <v>43921</v>
      </c>
      <c r="AJ25" s="9">
        <v>43853</v>
      </c>
      <c r="AK25" s="10" t="s">
        <v>31</v>
      </c>
      <c r="AL25" s="11" t="s">
        <v>32</v>
      </c>
      <c r="AM25" s="12">
        <v>868</v>
      </c>
      <c r="AN25" s="13" t="s">
        <v>20</v>
      </c>
      <c r="AP25" s="9"/>
      <c r="AQ25" s="11"/>
      <c r="AR25" s="12"/>
    </row>
    <row r="26" spans="1:44" x14ac:dyDescent="0.25">
      <c r="A26" s="44"/>
      <c r="B26" s="9">
        <v>43854</v>
      </c>
      <c r="C26" s="10" t="s">
        <v>34</v>
      </c>
      <c r="D26" s="11" t="s">
        <v>35</v>
      </c>
      <c r="E26" s="12">
        <v>246</v>
      </c>
      <c r="F26" s="13" t="s">
        <v>20</v>
      </c>
      <c r="L26" s="26" t="s">
        <v>159</v>
      </c>
      <c r="M26" s="52">
        <f ca="1">DATE(YEAR(TODAY()),4,1)</f>
        <v>43922</v>
      </c>
      <c r="N26" s="51">
        <f ca="1">DATE(YEAR(TODAY()),6,30)</f>
        <v>44012</v>
      </c>
      <c r="AJ26" s="9">
        <v>43854</v>
      </c>
      <c r="AK26" s="10" t="s">
        <v>34</v>
      </c>
      <c r="AL26" s="11" t="s">
        <v>35</v>
      </c>
      <c r="AM26" s="12">
        <v>246</v>
      </c>
      <c r="AN26" s="13" t="s">
        <v>20</v>
      </c>
      <c r="AP26" s="9"/>
      <c r="AQ26" s="11"/>
      <c r="AR26" s="12"/>
    </row>
    <row r="27" spans="1:44" x14ac:dyDescent="0.25">
      <c r="A27" s="44"/>
      <c r="B27" s="9">
        <v>43855</v>
      </c>
      <c r="C27" s="14" t="s">
        <v>37</v>
      </c>
      <c r="D27" s="11" t="s">
        <v>38</v>
      </c>
      <c r="E27" s="12">
        <v>602</v>
      </c>
      <c r="F27" s="15" t="s">
        <v>20</v>
      </c>
      <c r="L27" s="26" t="s">
        <v>160</v>
      </c>
      <c r="M27" s="50">
        <f ca="1">DATE(YEAR(TODAY()),7,1)</f>
        <v>44013</v>
      </c>
      <c r="N27" s="51">
        <f ca="1">DATE(YEAR(TODAY()),9,30)</f>
        <v>44104</v>
      </c>
      <c r="AJ27" s="9">
        <v>43855</v>
      </c>
      <c r="AK27" s="14" t="s">
        <v>37</v>
      </c>
      <c r="AL27" s="11" t="s">
        <v>38</v>
      </c>
      <c r="AM27" s="12">
        <v>602</v>
      </c>
      <c r="AN27" s="15" t="s">
        <v>20</v>
      </c>
      <c r="AP27" s="9"/>
      <c r="AQ27" s="11"/>
      <c r="AR27" s="12"/>
    </row>
    <row r="28" spans="1:44" x14ac:dyDescent="0.25">
      <c r="A28" s="44"/>
      <c r="B28" s="9">
        <v>43856</v>
      </c>
      <c r="C28" s="14" t="s">
        <v>40</v>
      </c>
      <c r="D28" s="11" t="s">
        <v>41</v>
      </c>
      <c r="E28" s="12">
        <v>592</v>
      </c>
      <c r="F28" s="15" t="s">
        <v>20</v>
      </c>
      <c r="L28" s="26" t="s">
        <v>161</v>
      </c>
      <c r="M28" s="50">
        <f ca="1">DATE(YEAR(TODAY()),10,1)</f>
        <v>44105</v>
      </c>
      <c r="N28" s="51">
        <f ca="1">DATE(YEAR(TODAY()),12,31)</f>
        <v>44196</v>
      </c>
      <c r="AJ28" s="9">
        <v>43856</v>
      </c>
      <c r="AK28" s="14" t="s">
        <v>40</v>
      </c>
      <c r="AL28" s="11" t="s">
        <v>41</v>
      </c>
      <c r="AM28" s="12">
        <v>592</v>
      </c>
      <c r="AN28" s="15" t="s">
        <v>20</v>
      </c>
    </row>
    <row r="29" spans="1:44" x14ac:dyDescent="0.25">
      <c r="A29" s="44"/>
      <c r="B29" s="9">
        <v>43857</v>
      </c>
      <c r="C29" s="14" t="s">
        <v>43</v>
      </c>
      <c r="D29" s="11" t="s">
        <v>44</v>
      </c>
      <c r="E29" s="12">
        <v>1096</v>
      </c>
      <c r="F29" s="15" t="s">
        <v>20</v>
      </c>
      <c r="L29" s="26" t="s">
        <v>154</v>
      </c>
      <c r="M29" s="50">
        <f ca="1">DATE(YEAR(TODAY()),1,1)</f>
        <v>43831</v>
      </c>
      <c r="N29" s="51">
        <f ca="1">DATE(YEAR(TODAY()),12,31)</f>
        <v>44196</v>
      </c>
      <c r="AJ29" s="9">
        <v>43857</v>
      </c>
      <c r="AK29" s="14" t="s">
        <v>43</v>
      </c>
      <c r="AL29" s="11" t="s">
        <v>44</v>
      </c>
      <c r="AM29" s="12">
        <v>1096</v>
      </c>
      <c r="AN29" s="15" t="s">
        <v>20</v>
      </c>
    </row>
    <row r="30" spans="1:44" ht="15.75" thickBot="1" x14ac:dyDescent="0.3">
      <c r="A30" s="44"/>
      <c r="B30" s="9">
        <v>43858</v>
      </c>
      <c r="C30" s="14" t="s">
        <v>46</v>
      </c>
      <c r="D30" s="11" t="s">
        <v>47</v>
      </c>
      <c r="E30" s="12">
        <v>737</v>
      </c>
      <c r="F30" s="15" t="s">
        <v>20</v>
      </c>
      <c r="L30" s="30" t="s">
        <v>155</v>
      </c>
      <c r="M30" s="53">
        <f ca="1">DATE(YEAR(TODAY())-1,1,1)</f>
        <v>43466</v>
      </c>
      <c r="N30" s="54">
        <f ca="1">DATE(YEAR(TODAY())-1,12,31)</f>
        <v>43830</v>
      </c>
      <c r="AJ30" s="9">
        <v>43858</v>
      </c>
      <c r="AK30" s="14" t="s">
        <v>46</v>
      </c>
      <c r="AL30" s="11" t="s">
        <v>47</v>
      </c>
      <c r="AM30" s="12">
        <v>737</v>
      </c>
      <c r="AN30" s="15" t="s">
        <v>20</v>
      </c>
    </row>
    <row r="31" spans="1:44" x14ac:dyDescent="0.25">
      <c r="A31" s="44"/>
      <c r="B31" s="9">
        <v>43859</v>
      </c>
      <c r="C31" s="14" t="s">
        <v>49</v>
      </c>
      <c r="D31" s="11" t="s">
        <v>50</v>
      </c>
      <c r="E31" s="12">
        <v>1208</v>
      </c>
      <c r="F31" s="15" t="s">
        <v>20</v>
      </c>
      <c r="AJ31" s="9">
        <v>43859</v>
      </c>
      <c r="AK31" s="14" t="s">
        <v>49</v>
      </c>
      <c r="AL31" s="11" t="s">
        <v>50</v>
      </c>
      <c r="AM31" s="12">
        <v>1208</v>
      </c>
      <c r="AN31" s="15" t="s">
        <v>20</v>
      </c>
    </row>
    <row r="32" spans="1:44" x14ac:dyDescent="0.25">
      <c r="A32" s="44"/>
      <c r="B32" s="9">
        <v>43860</v>
      </c>
      <c r="C32" s="14" t="s">
        <v>52</v>
      </c>
      <c r="D32" s="11" t="s">
        <v>53</v>
      </c>
      <c r="E32" s="12">
        <v>669</v>
      </c>
      <c r="F32" s="15" t="s">
        <v>20</v>
      </c>
      <c r="AJ32" s="9">
        <v>43860</v>
      </c>
      <c r="AK32" s="14" t="s">
        <v>52</v>
      </c>
      <c r="AL32" s="11" t="s">
        <v>53</v>
      </c>
      <c r="AM32" s="12">
        <v>669</v>
      </c>
      <c r="AN32" s="15" t="s">
        <v>20</v>
      </c>
    </row>
    <row r="33" spans="1:40" x14ac:dyDescent="0.25">
      <c r="A33" s="44"/>
      <c r="B33" s="9">
        <v>43861</v>
      </c>
      <c r="C33" s="10" t="s">
        <v>12</v>
      </c>
      <c r="D33" s="11" t="s">
        <v>13</v>
      </c>
      <c r="E33" s="12">
        <v>4737</v>
      </c>
      <c r="F33" s="13" t="s">
        <v>11</v>
      </c>
      <c r="AJ33" s="9">
        <v>43861</v>
      </c>
      <c r="AK33" s="10" t="s">
        <v>12</v>
      </c>
      <c r="AL33" s="11" t="s">
        <v>13</v>
      </c>
      <c r="AM33" s="12">
        <v>4737</v>
      </c>
      <c r="AN33" s="13" t="s">
        <v>11</v>
      </c>
    </row>
    <row r="34" spans="1:40" x14ac:dyDescent="0.25">
      <c r="A34" s="44"/>
      <c r="B34" s="9">
        <v>43862</v>
      </c>
      <c r="C34" s="10" t="s">
        <v>15</v>
      </c>
      <c r="D34" s="11" t="s">
        <v>16</v>
      </c>
      <c r="E34" s="12">
        <v>4525</v>
      </c>
      <c r="F34" s="13" t="s">
        <v>11</v>
      </c>
      <c r="AJ34" s="9">
        <v>43862</v>
      </c>
      <c r="AK34" s="10" t="s">
        <v>15</v>
      </c>
      <c r="AL34" s="11" t="s">
        <v>16</v>
      </c>
      <c r="AM34" s="12">
        <v>4525</v>
      </c>
      <c r="AN34" s="13" t="s">
        <v>11</v>
      </c>
    </row>
    <row r="35" spans="1:40" x14ac:dyDescent="0.25">
      <c r="A35" s="44"/>
      <c r="B35" s="9">
        <v>43863</v>
      </c>
      <c r="C35" s="10" t="s">
        <v>18</v>
      </c>
      <c r="D35" s="11" t="s">
        <v>19</v>
      </c>
      <c r="E35" s="12">
        <v>131</v>
      </c>
      <c r="F35" s="13" t="s">
        <v>11</v>
      </c>
      <c r="AJ35" s="9">
        <v>43863</v>
      </c>
      <c r="AK35" s="10" t="s">
        <v>18</v>
      </c>
      <c r="AL35" s="11" t="s">
        <v>19</v>
      </c>
      <c r="AM35" s="12">
        <v>131</v>
      </c>
      <c r="AN35" s="13" t="s">
        <v>11</v>
      </c>
    </row>
    <row r="36" spans="1:40" x14ac:dyDescent="0.25">
      <c r="A36" s="44"/>
      <c r="B36" s="9">
        <v>43864</v>
      </c>
      <c r="C36" s="10" t="s">
        <v>21</v>
      </c>
      <c r="D36" s="11" t="s">
        <v>22</v>
      </c>
      <c r="E36" s="12">
        <v>1200</v>
      </c>
      <c r="F36" s="13" t="s">
        <v>11</v>
      </c>
      <c r="AJ36" s="9">
        <v>43864</v>
      </c>
      <c r="AK36" s="10" t="s">
        <v>21</v>
      </c>
      <c r="AL36" s="11" t="s">
        <v>22</v>
      </c>
      <c r="AM36" s="12">
        <v>1200</v>
      </c>
      <c r="AN36" s="13" t="s">
        <v>11</v>
      </c>
    </row>
    <row r="37" spans="1:40" x14ac:dyDescent="0.25">
      <c r="A37" s="44"/>
      <c r="B37" s="9">
        <v>43865</v>
      </c>
      <c r="C37" s="10" t="s">
        <v>24</v>
      </c>
      <c r="D37" s="11" t="s">
        <v>25</v>
      </c>
      <c r="E37" s="12">
        <v>189</v>
      </c>
      <c r="F37" s="13" t="s">
        <v>14</v>
      </c>
      <c r="AJ37" s="9">
        <v>43865</v>
      </c>
      <c r="AK37" s="10" t="s">
        <v>24</v>
      </c>
      <c r="AL37" s="11" t="s">
        <v>25</v>
      </c>
      <c r="AM37" s="12">
        <v>189</v>
      </c>
      <c r="AN37" s="13" t="s">
        <v>14</v>
      </c>
    </row>
    <row r="38" spans="1:40" x14ac:dyDescent="0.25">
      <c r="A38" s="44"/>
      <c r="B38" s="9">
        <v>43866</v>
      </c>
      <c r="C38" s="10" t="s">
        <v>26</v>
      </c>
      <c r="D38" s="11" t="s">
        <v>27</v>
      </c>
      <c r="E38" s="12">
        <v>369</v>
      </c>
      <c r="F38" s="13" t="s">
        <v>14</v>
      </c>
      <c r="AJ38" s="9">
        <v>43866</v>
      </c>
      <c r="AK38" s="10" t="s">
        <v>26</v>
      </c>
      <c r="AL38" s="11" t="s">
        <v>27</v>
      </c>
      <c r="AM38" s="12">
        <v>369</v>
      </c>
      <c r="AN38" s="13" t="s">
        <v>14</v>
      </c>
    </row>
    <row r="39" spans="1:40" x14ac:dyDescent="0.25">
      <c r="A39" s="44"/>
      <c r="B39" s="9">
        <v>43867</v>
      </c>
      <c r="C39" s="10" t="s">
        <v>28</v>
      </c>
      <c r="D39" s="11" t="s">
        <v>29</v>
      </c>
      <c r="E39" s="12">
        <v>1459</v>
      </c>
      <c r="F39" s="13" t="s">
        <v>14</v>
      </c>
      <c r="AJ39" s="9">
        <v>43867</v>
      </c>
      <c r="AK39" s="10" t="s">
        <v>28</v>
      </c>
      <c r="AL39" s="11" t="s">
        <v>29</v>
      </c>
      <c r="AM39" s="12">
        <v>1459</v>
      </c>
      <c r="AN39" s="13" t="s">
        <v>14</v>
      </c>
    </row>
    <row r="40" spans="1:40" x14ac:dyDescent="0.25">
      <c r="A40" s="44"/>
      <c r="B40" s="9">
        <v>43868</v>
      </c>
      <c r="C40" s="10" t="s">
        <v>31</v>
      </c>
      <c r="D40" s="11" t="s">
        <v>32</v>
      </c>
      <c r="E40" s="12">
        <v>721</v>
      </c>
      <c r="F40" s="13" t="s">
        <v>20</v>
      </c>
      <c r="AJ40" s="9">
        <v>43868</v>
      </c>
      <c r="AK40" s="10" t="s">
        <v>31</v>
      </c>
      <c r="AL40" s="11" t="s">
        <v>32</v>
      </c>
      <c r="AM40" s="12">
        <v>721</v>
      </c>
      <c r="AN40" s="13" t="s">
        <v>20</v>
      </c>
    </row>
    <row r="41" spans="1:40" x14ac:dyDescent="0.25">
      <c r="A41" s="44"/>
      <c r="B41" s="9">
        <v>43869</v>
      </c>
      <c r="C41" s="10" t="s">
        <v>34</v>
      </c>
      <c r="D41" s="11" t="s">
        <v>35</v>
      </c>
      <c r="E41" s="12">
        <v>963</v>
      </c>
      <c r="F41" s="13" t="s">
        <v>20</v>
      </c>
      <c r="AJ41" s="9">
        <v>43869</v>
      </c>
      <c r="AK41" s="10" t="s">
        <v>34</v>
      </c>
      <c r="AL41" s="11" t="s">
        <v>35</v>
      </c>
      <c r="AM41" s="12">
        <v>963</v>
      </c>
      <c r="AN41" s="13" t="s">
        <v>20</v>
      </c>
    </row>
    <row r="42" spans="1:40" x14ac:dyDescent="0.25">
      <c r="A42" s="44"/>
      <c r="B42" s="9">
        <v>43870</v>
      </c>
      <c r="C42" s="14" t="s">
        <v>37</v>
      </c>
      <c r="D42" s="11" t="s">
        <v>38</v>
      </c>
      <c r="E42" s="12">
        <v>899</v>
      </c>
      <c r="F42" s="15" t="s">
        <v>20</v>
      </c>
      <c r="AJ42" s="9">
        <v>43870</v>
      </c>
      <c r="AK42" s="14" t="s">
        <v>37</v>
      </c>
      <c r="AL42" s="11" t="s">
        <v>38</v>
      </c>
      <c r="AM42" s="12">
        <v>899</v>
      </c>
      <c r="AN42" s="15" t="s">
        <v>20</v>
      </c>
    </row>
    <row r="43" spans="1:40" x14ac:dyDescent="0.25">
      <c r="A43" s="44"/>
      <c r="B43" s="9">
        <v>43871</v>
      </c>
      <c r="C43" s="14" t="s">
        <v>40</v>
      </c>
      <c r="D43" s="11" t="s">
        <v>41</v>
      </c>
      <c r="E43" s="12">
        <v>1503</v>
      </c>
      <c r="F43" s="15" t="s">
        <v>20</v>
      </c>
      <c r="AJ43" s="9">
        <v>43871</v>
      </c>
      <c r="AK43" s="14" t="s">
        <v>40</v>
      </c>
      <c r="AL43" s="11" t="s">
        <v>41</v>
      </c>
      <c r="AM43" s="12">
        <v>1503</v>
      </c>
      <c r="AN43" s="15" t="s">
        <v>20</v>
      </c>
    </row>
    <row r="44" spans="1:40" x14ac:dyDescent="0.25">
      <c r="A44" s="44"/>
      <c r="B44" s="9">
        <v>43872</v>
      </c>
      <c r="C44" s="14" t="s">
        <v>43</v>
      </c>
      <c r="D44" s="11" t="s">
        <v>44</v>
      </c>
      <c r="E44" s="12">
        <v>331</v>
      </c>
      <c r="F44" s="15" t="s">
        <v>20</v>
      </c>
      <c r="AJ44" s="9">
        <v>43872</v>
      </c>
      <c r="AK44" s="14" t="s">
        <v>43</v>
      </c>
      <c r="AL44" s="11" t="s">
        <v>44</v>
      </c>
      <c r="AM44" s="12">
        <v>331</v>
      </c>
      <c r="AN44" s="15" t="s">
        <v>20</v>
      </c>
    </row>
    <row r="45" spans="1:40" x14ac:dyDescent="0.25">
      <c r="A45" s="44"/>
      <c r="B45" s="9">
        <v>43873</v>
      </c>
      <c r="C45" s="14" t="s">
        <v>46</v>
      </c>
      <c r="D45" s="11" t="s">
        <v>47</v>
      </c>
      <c r="E45" s="12">
        <v>1413</v>
      </c>
      <c r="F45" s="15" t="s">
        <v>20</v>
      </c>
      <c r="AJ45" s="9">
        <v>43873</v>
      </c>
      <c r="AK45" s="14" t="s">
        <v>46</v>
      </c>
      <c r="AL45" s="11" t="s">
        <v>47</v>
      </c>
      <c r="AM45" s="12">
        <v>1413</v>
      </c>
      <c r="AN45" s="15" t="s">
        <v>20</v>
      </c>
    </row>
    <row r="46" spans="1:40" x14ac:dyDescent="0.25">
      <c r="A46" s="44"/>
      <c r="B46" s="9">
        <v>43874</v>
      </c>
      <c r="C46" s="14" t="s">
        <v>49</v>
      </c>
      <c r="D46" s="11" t="s">
        <v>50</v>
      </c>
      <c r="E46" s="12">
        <v>749</v>
      </c>
      <c r="F46" s="15" t="s">
        <v>20</v>
      </c>
      <c r="AJ46" s="9">
        <v>43874</v>
      </c>
      <c r="AK46" s="14" t="s">
        <v>49</v>
      </c>
      <c r="AL46" s="11" t="s">
        <v>50</v>
      </c>
      <c r="AM46" s="12">
        <v>749</v>
      </c>
      <c r="AN46" s="15" t="s">
        <v>20</v>
      </c>
    </row>
    <row r="47" spans="1:40" x14ac:dyDescent="0.25">
      <c r="A47" s="44"/>
      <c r="B47" s="9">
        <v>43875</v>
      </c>
      <c r="C47" s="14" t="s">
        <v>52</v>
      </c>
      <c r="D47" s="11" t="s">
        <v>53</v>
      </c>
      <c r="E47" s="12">
        <v>1665</v>
      </c>
      <c r="F47" s="15" t="s">
        <v>20</v>
      </c>
      <c r="AJ47" s="9">
        <v>43875</v>
      </c>
      <c r="AK47" s="14" t="s">
        <v>52</v>
      </c>
      <c r="AL47" s="11" t="s">
        <v>53</v>
      </c>
      <c r="AM47" s="12">
        <v>1665</v>
      </c>
      <c r="AN47" s="15" t="s">
        <v>20</v>
      </c>
    </row>
    <row r="48" spans="1:40" x14ac:dyDescent="0.25">
      <c r="A48" s="44"/>
      <c r="B48" s="9">
        <v>43876</v>
      </c>
      <c r="C48" s="10" t="s">
        <v>12</v>
      </c>
      <c r="D48" s="11" t="s">
        <v>13</v>
      </c>
      <c r="E48" s="12">
        <v>4747</v>
      </c>
      <c r="F48" s="13" t="s">
        <v>11</v>
      </c>
      <c r="AJ48" s="9">
        <v>43876</v>
      </c>
      <c r="AK48" s="10" t="s">
        <v>12</v>
      </c>
      <c r="AL48" s="11" t="s">
        <v>13</v>
      </c>
      <c r="AM48" s="12">
        <v>4747</v>
      </c>
      <c r="AN48" s="13" t="s">
        <v>11</v>
      </c>
    </row>
    <row r="49" spans="1:40" x14ac:dyDescent="0.25">
      <c r="A49" s="44"/>
      <c r="B49" s="9">
        <v>43877</v>
      </c>
      <c r="C49" s="10" t="s">
        <v>15</v>
      </c>
      <c r="D49" s="11" t="s">
        <v>16</v>
      </c>
      <c r="E49" s="12">
        <v>4914</v>
      </c>
      <c r="F49" s="13" t="s">
        <v>11</v>
      </c>
      <c r="AJ49" s="9">
        <v>43877</v>
      </c>
      <c r="AK49" s="10" t="s">
        <v>15</v>
      </c>
      <c r="AL49" s="11" t="s">
        <v>16</v>
      </c>
      <c r="AM49" s="12">
        <v>4914</v>
      </c>
      <c r="AN49" s="13" t="s">
        <v>11</v>
      </c>
    </row>
    <row r="50" spans="1:40" x14ac:dyDescent="0.25">
      <c r="A50" s="44"/>
      <c r="B50" s="9">
        <v>43878</v>
      </c>
      <c r="C50" s="10" t="s">
        <v>18</v>
      </c>
      <c r="D50" s="11" t="s">
        <v>19</v>
      </c>
      <c r="E50" s="12">
        <v>1193</v>
      </c>
      <c r="F50" s="13" t="s">
        <v>11</v>
      </c>
      <c r="AJ50" s="9">
        <v>43878</v>
      </c>
      <c r="AK50" s="10" t="s">
        <v>18</v>
      </c>
      <c r="AL50" s="11" t="s">
        <v>19</v>
      </c>
      <c r="AM50" s="12">
        <v>1193</v>
      </c>
      <c r="AN50" s="13" t="s">
        <v>11</v>
      </c>
    </row>
    <row r="51" spans="1:40" x14ac:dyDescent="0.25">
      <c r="A51" s="44"/>
      <c r="B51" s="9">
        <v>43879</v>
      </c>
      <c r="C51" s="10" t="s">
        <v>21</v>
      </c>
      <c r="D51" s="11" t="s">
        <v>22</v>
      </c>
      <c r="E51" s="12">
        <v>1846</v>
      </c>
      <c r="F51" s="13" t="s">
        <v>11</v>
      </c>
      <c r="AJ51" s="9">
        <v>43879</v>
      </c>
      <c r="AK51" s="10" t="s">
        <v>21</v>
      </c>
      <c r="AL51" s="11" t="s">
        <v>22</v>
      </c>
      <c r="AM51" s="12">
        <v>1846</v>
      </c>
      <c r="AN51" s="13" t="s">
        <v>11</v>
      </c>
    </row>
    <row r="52" spans="1:40" x14ac:dyDescent="0.25">
      <c r="A52" s="44"/>
      <c r="B52" s="9">
        <v>43880</v>
      </c>
      <c r="C52" s="10" t="s">
        <v>24</v>
      </c>
      <c r="D52" s="11" t="s">
        <v>25</v>
      </c>
      <c r="E52" s="12">
        <v>280</v>
      </c>
      <c r="F52" s="13" t="s">
        <v>14</v>
      </c>
      <c r="AJ52" s="9">
        <v>43880</v>
      </c>
      <c r="AK52" s="10" t="s">
        <v>24</v>
      </c>
      <c r="AL52" s="11" t="s">
        <v>25</v>
      </c>
      <c r="AM52" s="12">
        <v>280</v>
      </c>
      <c r="AN52" s="13" t="s">
        <v>14</v>
      </c>
    </row>
    <row r="53" spans="1:40" x14ac:dyDescent="0.25">
      <c r="A53" s="44"/>
      <c r="B53" s="9">
        <v>43881</v>
      </c>
      <c r="C53" s="10" t="s">
        <v>26</v>
      </c>
      <c r="D53" s="11" t="s">
        <v>27</v>
      </c>
      <c r="E53" s="12">
        <v>1259</v>
      </c>
      <c r="F53" s="13" t="s">
        <v>14</v>
      </c>
      <c r="AJ53" s="9">
        <v>43881</v>
      </c>
      <c r="AK53" s="10" t="s">
        <v>26</v>
      </c>
      <c r="AL53" s="11" t="s">
        <v>27</v>
      </c>
      <c r="AM53" s="12">
        <v>1259</v>
      </c>
      <c r="AN53" s="13" t="s">
        <v>14</v>
      </c>
    </row>
    <row r="54" spans="1:40" x14ac:dyDescent="0.25">
      <c r="A54" s="44"/>
      <c r="B54" s="9">
        <v>43882</v>
      </c>
      <c r="C54" s="10" t="s">
        <v>28</v>
      </c>
      <c r="D54" s="11" t="s">
        <v>29</v>
      </c>
      <c r="E54" s="12">
        <v>450</v>
      </c>
      <c r="F54" s="13" t="s">
        <v>14</v>
      </c>
      <c r="AJ54" s="9">
        <v>43882</v>
      </c>
      <c r="AK54" s="10" t="s">
        <v>28</v>
      </c>
      <c r="AL54" s="11" t="s">
        <v>29</v>
      </c>
      <c r="AM54" s="12">
        <v>450</v>
      </c>
      <c r="AN54" s="13" t="s">
        <v>14</v>
      </c>
    </row>
    <row r="55" spans="1:40" x14ac:dyDescent="0.25">
      <c r="A55" s="44"/>
      <c r="B55" s="9">
        <v>43883</v>
      </c>
      <c r="C55" s="10" t="s">
        <v>31</v>
      </c>
      <c r="D55" s="11" t="s">
        <v>32</v>
      </c>
      <c r="E55" s="12">
        <v>472</v>
      </c>
      <c r="F55" s="13" t="s">
        <v>20</v>
      </c>
      <c r="AJ55" s="9">
        <v>43883</v>
      </c>
      <c r="AK55" s="10" t="s">
        <v>31</v>
      </c>
      <c r="AL55" s="11" t="s">
        <v>32</v>
      </c>
      <c r="AM55" s="12">
        <v>472</v>
      </c>
      <c r="AN55" s="13" t="s">
        <v>20</v>
      </c>
    </row>
    <row r="56" spans="1:40" x14ac:dyDescent="0.25">
      <c r="A56" s="44"/>
      <c r="B56" s="9">
        <v>43884</v>
      </c>
      <c r="C56" s="10" t="s">
        <v>34</v>
      </c>
      <c r="D56" s="11" t="s">
        <v>35</v>
      </c>
      <c r="E56" s="12">
        <v>988</v>
      </c>
      <c r="F56" s="13" t="s">
        <v>20</v>
      </c>
      <c r="AJ56" s="9">
        <v>43884</v>
      </c>
      <c r="AK56" s="10" t="s">
        <v>34</v>
      </c>
      <c r="AL56" s="11" t="s">
        <v>35</v>
      </c>
      <c r="AM56" s="12">
        <v>988</v>
      </c>
      <c r="AN56" s="13" t="s">
        <v>20</v>
      </c>
    </row>
    <row r="57" spans="1:40" x14ac:dyDescent="0.25">
      <c r="A57" s="44"/>
      <c r="B57" s="9">
        <v>43885</v>
      </c>
      <c r="C57" s="14" t="s">
        <v>37</v>
      </c>
      <c r="D57" s="11" t="s">
        <v>38</v>
      </c>
      <c r="E57" s="12">
        <v>58</v>
      </c>
      <c r="F57" s="15" t="s">
        <v>20</v>
      </c>
      <c r="AJ57" s="9">
        <v>43885</v>
      </c>
      <c r="AK57" s="14" t="s">
        <v>37</v>
      </c>
      <c r="AL57" s="11" t="s">
        <v>38</v>
      </c>
      <c r="AM57" s="12">
        <v>58</v>
      </c>
      <c r="AN57" s="15" t="s">
        <v>20</v>
      </c>
    </row>
    <row r="58" spans="1:40" x14ac:dyDescent="0.25">
      <c r="A58" s="44"/>
      <c r="B58" s="9">
        <v>43886</v>
      </c>
      <c r="C58" s="14" t="s">
        <v>40</v>
      </c>
      <c r="D58" s="11" t="s">
        <v>41</v>
      </c>
      <c r="E58" s="12">
        <v>864</v>
      </c>
      <c r="F58" s="15" t="s">
        <v>20</v>
      </c>
      <c r="AJ58" s="9">
        <v>43886</v>
      </c>
      <c r="AK58" s="14" t="s">
        <v>40</v>
      </c>
      <c r="AL58" s="11" t="s">
        <v>41</v>
      </c>
      <c r="AM58" s="12">
        <v>864</v>
      </c>
      <c r="AN58" s="15" t="s">
        <v>20</v>
      </c>
    </row>
    <row r="59" spans="1:40" x14ac:dyDescent="0.25">
      <c r="A59" s="44"/>
      <c r="B59" s="9">
        <v>43887</v>
      </c>
      <c r="C59" s="14" t="s">
        <v>43</v>
      </c>
      <c r="D59" s="11" t="s">
        <v>44</v>
      </c>
      <c r="E59" s="12">
        <v>431</v>
      </c>
      <c r="F59" s="15" t="s">
        <v>20</v>
      </c>
      <c r="AJ59" s="9">
        <v>43887</v>
      </c>
      <c r="AK59" s="14" t="s">
        <v>43</v>
      </c>
      <c r="AL59" s="11" t="s">
        <v>44</v>
      </c>
      <c r="AM59" s="12">
        <v>431</v>
      </c>
      <c r="AN59" s="15" t="s">
        <v>20</v>
      </c>
    </row>
    <row r="60" spans="1:40" x14ac:dyDescent="0.25">
      <c r="A60" s="44"/>
      <c r="B60" s="9">
        <v>43888</v>
      </c>
      <c r="C60" s="14" t="s">
        <v>46</v>
      </c>
      <c r="D60" s="11" t="s">
        <v>47</v>
      </c>
      <c r="E60" s="12">
        <v>521</v>
      </c>
      <c r="F60" s="15" t="s">
        <v>20</v>
      </c>
      <c r="AJ60" s="9">
        <v>43888</v>
      </c>
      <c r="AK60" s="14" t="s">
        <v>46</v>
      </c>
      <c r="AL60" s="11" t="s">
        <v>47</v>
      </c>
      <c r="AM60" s="12">
        <v>521</v>
      </c>
      <c r="AN60" s="15" t="s">
        <v>20</v>
      </c>
    </row>
    <row r="61" spans="1:40" x14ac:dyDescent="0.25">
      <c r="A61" s="44"/>
      <c r="B61" s="9">
        <v>43889</v>
      </c>
      <c r="C61" s="14" t="s">
        <v>49</v>
      </c>
      <c r="D61" s="11" t="s">
        <v>50</v>
      </c>
      <c r="E61" s="12">
        <v>1209</v>
      </c>
      <c r="F61" s="15" t="s">
        <v>20</v>
      </c>
      <c r="AJ61" s="9">
        <v>43889</v>
      </c>
      <c r="AK61" s="14" t="s">
        <v>49</v>
      </c>
      <c r="AL61" s="11" t="s">
        <v>50</v>
      </c>
      <c r="AM61" s="12">
        <v>1209</v>
      </c>
      <c r="AN61" s="15" t="s">
        <v>20</v>
      </c>
    </row>
    <row r="62" spans="1:40" x14ac:dyDescent="0.25">
      <c r="A62" s="44"/>
      <c r="B62" s="9">
        <v>43890</v>
      </c>
      <c r="C62" s="14" t="s">
        <v>52</v>
      </c>
      <c r="D62" s="11" t="s">
        <v>53</v>
      </c>
      <c r="E62" s="12">
        <v>1600</v>
      </c>
      <c r="F62" s="15" t="s">
        <v>20</v>
      </c>
      <c r="AJ62" s="9">
        <v>43890</v>
      </c>
      <c r="AK62" s="14" t="s">
        <v>52</v>
      </c>
      <c r="AL62" s="11" t="s">
        <v>53</v>
      </c>
      <c r="AM62" s="12">
        <v>1600</v>
      </c>
      <c r="AN62" s="15" t="s">
        <v>20</v>
      </c>
    </row>
    <row r="63" spans="1:40" x14ac:dyDescent="0.25">
      <c r="A63" s="44"/>
      <c r="B63" s="9">
        <v>43891</v>
      </c>
      <c r="C63" s="10" t="s">
        <v>12</v>
      </c>
      <c r="D63" s="11" t="s">
        <v>13</v>
      </c>
      <c r="E63" s="12">
        <v>1295</v>
      </c>
      <c r="F63" s="13" t="s">
        <v>11</v>
      </c>
      <c r="AJ63" s="9">
        <v>43891</v>
      </c>
      <c r="AK63" s="10" t="s">
        <v>12</v>
      </c>
      <c r="AL63" s="11" t="s">
        <v>13</v>
      </c>
      <c r="AM63" s="12">
        <v>1295</v>
      </c>
      <c r="AN63" s="13" t="s">
        <v>11</v>
      </c>
    </row>
    <row r="64" spans="1:40" x14ac:dyDescent="0.25">
      <c r="A64" s="44"/>
      <c r="B64" s="9">
        <v>43892</v>
      </c>
      <c r="C64" s="10" t="s">
        <v>15</v>
      </c>
      <c r="D64" s="11" t="s">
        <v>16</v>
      </c>
      <c r="E64" s="12">
        <v>4262</v>
      </c>
      <c r="F64" s="13" t="s">
        <v>11</v>
      </c>
      <c r="AJ64" s="9">
        <v>43892</v>
      </c>
      <c r="AK64" s="10" t="s">
        <v>15</v>
      </c>
      <c r="AL64" s="11" t="s">
        <v>16</v>
      </c>
      <c r="AM64" s="12">
        <v>4262</v>
      </c>
      <c r="AN64" s="13" t="s">
        <v>11</v>
      </c>
    </row>
    <row r="65" spans="1:40" x14ac:dyDescent="0.25">
      <c r="A65" s="44"/>
      <c r="B65" s="9">
        <v>43893</v>
      </c>
      <c r="C65" s="10" t="s">
        <v>18</v>
      </c>
      <c r="D65" s="11" t="s">
        <v>19</v>
      </c>
      <c r="E65" s="12">
        <v>4912</v>
      </c>
      <c r="F65" s="13" t="s">
        <v>11</v>
      </c>
      <c r="AJ65" s="9">
        <v>43893</v>
      </c>
      <c r="AK65" s="10" t="s">
        <v>18</v>
      </c>
      <c r="AL65" s="11" t="s">
        <v>19</v>
      </c>
      <c r="AM65" s="12">
        <v>4912</v>
      </c>
      <c r="AN65" s="13" t="s">
        <v>11</v>
      </c>
    </row>
    <row r="66" spans="1:40" x14ac:dyDescent="0.25">
      <c r="A66" s="44"/>
      <c r="B66" s="9">
        <v>43894</v>
      </c>
      <c r="C66" s="10" t="s">
        <v>21</v>
      </c>
      <c r="D66" s="11" t="s">
        <v>22</v>
      </c>
      <c r="E66" s="12">
        <v>1092</v>
      </c>
      <c r="F66" s="13" t="s">
        <v>11</v>
      </c>
      <c r="AJ66" s="9">
        <v>43894</v>
      </c>
      <c r="AK66" s="10" t="s">
        <v>21</v>
      </c>
      <c r="AL66" s="11" t="s">
        <v>22</v>
      </c>
      <c r="AM66" s="12">
        <v>1092</v>
      </c>
      <c r="AN66" s="13" t="s">
        <v>11</v>
      </c>
    </row>
    <row r="67" spans="1:40" x14ac:dyDescent="0.25">
      <c r="A67" s="44"/>
      <c r="B67" s="9">
        <v>43895</v>
      </c>
      <c r="C67" s="10" t="s">
        <v>24</v>
      </c>
      <c r="D67" s="11" t="s">
        <v>25</v>
      </c>
      <c r="E67" s="12">
        <v>1269</v>
      </c>
      <c r="F67" s="13" t="s">
        <v>14</v>
      </c>
      <c r="AJ67" s="9">
        <v>43895</v>
      </c>
      <c r="AK67" s="10" t="s">
        <v>24</v>
      </c>
      <c r="AL67" s="11" t="s">
        <v>25</v>
      </c>
      <c r="AM67" s="12">
        <v>1269</v>
      </c>
      <c r="AN67" s="13" t="s">
        <v>14</v>
      </c>
    </row>
    <row r="68" spans="1:40" x14ac:dyDescent="0.25">
      <c r="A68" s="44"/>
      <c r="B68" s="9">
        <v>43896</v>
      </c>
      <c r="C68" s="10" t="s">
        <v>26</v>
      </c>
      <c r="D68" s="11" t="s">
        <v>27</v>
      </c>
      <c r="E68" s="12">
        <v>432</v>
      </c>
      <c r="F68" s="13" t="s">
        <v>14</v>
      </c>
      <c r="AJ68" s="9">
        <v>43896</v>
      </c>
      <c r="AK68" s="10" t="s">
        <v>26</v>
      </c>
      <c r="AL68" s="11" t="s">
        <v>27</v>
      </c>
      <c r="AM68" s="12">
        <v>432</v>
      </c>
      <c r="AN68" s="13" t="s">
        <v>14</v>
      </c>
    </row>
    <row r="69" spans="1:40" x14ac:dyDescent="0.25">
      <c r="A69" s="44"/>
      <c r="B69" s="9">
        <v>43897</v>
      </c>
      <c r="C69" s="10" t="s">
        <v>28</v>
      </c>
      <c r="D69" s="11" t="s">
        <v>29</v>
      </c>
      <c r="E69" s="12">
        <v>1742</v>
      </c>
      <c r="F69" s="13" t="s">
        <v>14</v>
      </c>
      <c r="AJ69" s="9">
        <v>43897</v>
      </c>
      <c r="AK69" s="10" t="s">
        <v>28</v>
      </c>
      <c r="AL69" s="11" t="s">
        <v>29</v>
      </c>
      <c r="AM69" s="12">
        <v>1742</v>
      </c>
      <c r="AN69" s="13" t="s">
        <v>14</v>
      </c>
    </row>
    <row r="70" spans="1:40" x14ac:dyDescent="0.25">
      <c r="A70" s="44"/>
      <c r="B70" s="9">
        <v>43898</v>
      </c>
      <c r="C70" s="10" t="s">
        <v>31</v>
      </c>
      <c r="D70" s="11" t="s">
        <v>32</v>
      </c>
      <c r="E70" s="12">
        <v>613</v>
      </c>
      <c r="F70" s="13" t="s">
        <v>20</v>
      </c>
      <c r="AJ70" s="9">
        <v>43898</v>
      </c>
      <c r="AK70" s="10" t="s">
        <v>31</v>
      </c>
      <c r="AL70" s="11" t="s">
        <v>32</v>
      </c>
      <c r="AM70" s="12">
        <v>613</v>
      </c>
      <c r="AN70" s="13" t="s">
        <v>20</v>
      </c>
    </row>
    <row r="71" spans="1:40" x14ac:dyDescent="0.25">
      <c r="A71" s="44"/>
      <c r="B71" s="9">
        <v>43899</v>
      </c>
      <c r="C71" s="10" t="s">
        <v>34</v>
      </c>
      <c r="D71" s="11" t="s">
        <v>35</v>
      </c>
      <c r="E71" s="12">
        <v>1821</v>
      </c>
      <c r="F71" s="13" t="s">
        <v>20</v>
      </c>
      <c r="AJ71" s="9">
        <v>43899</v>
      </c>
      <c r="AK71" s="10" t="s">
        <v>34</v>
      </c>
      <c r="AL71" s="11" t="s">
        <v>35</v>
      </c>
      <c r="AM71" s="12">
        <v>1821</v>
      </c>
      <c r="AN71" s="13" t="s">
        <v>20</v>
      </c>
    </row>
    <row r="72" spans="1:40" x14ac:dyDescent="0.25">
      <c r="A72" s="44"/>
      <c r="B72" s="9">
        <v>43900</v>
      </c>
      <c r="C72" s="14" t="s">
        <v>37</v>
      </c>
      <c r="D72" s="11" t="s">
        <v>38</v>
      </c>
      <c r="E72" s="12">
        <v>947</v>
      </c>
      <c r="F72" s="15" t="s">
        <v>20</v>
      </c>
      <c r="AJ72" s="9">
        <v>43900</v>
      </c>
      <c r="AK72" s="14" t="s">
        <v>37</v>
      </c>
      <c r="AL72" s="11" t="s">
        <v>38</v>
      </c>
      <c r="AM72" s="12">
        <v>947</v>
      </c>
      <c r="AN72" s="15" t="s">
        <v>20</v>
      </c>
    </row>
    <row r="73" spans="1:40" x14ac:dyDescent="0.25">
      <c r="A73" s="44"/>
      <c r="B73" s="9">
        <v>43901</v>
      </c>
      <c r="C73" s="14" t="s">
        <v>40</v>
      </c>
      <c r="D73" s="11" t="s">
        <v>41</v>
      </c>
      <c r="E73" s="12">
        <v>158</v>
      </c>
      <c r="F73" s="15" t="s">
        <v>20</v>
      </c>
      <c r="AJ73" s="9">
        <v>43901</v>
      </c>
      <c r="AK73" s="14" t="s">
        <v>40</v>
      </c>
      <c r="AL73" s="11" t="s">
        <v>41</v>
      </c>
      <c r="AM73" s="12">
        <v>158</v>
      </c>
      <c r="AN73" s="15" t="s">
        <v>20</v>
      </c>
    </row>
    <row r="74" spans="1:40" x14ac:dyDescent="0.25">
      <c r="A74" s="44"/>
      <c r="B74" s="9">
        <v>43902</v>
      </c>
      <c r="C74" s="14" t="s">
        <v>43</v>
      </c>
      <c r="D74" s="11" t="s">
        <v>44</v>
      </c>
      <c r="E74" s="12">
        <v>1129</v>
      </c>
      <c r="F74" s="15" t="s">
        <v>20</v>
      </c>
      <c r="AJ74" s="9">
        <v>43902</v>
      </c>
      <c r="AK74" s="14" t="s">
        <v>43</v>
      </c>
      <c r="AL74" s="11" t="s">
        <v>44</v>
      </c>
      <c r="AM74" s="12">
        <v>1129</v>
      </c>
      <c r="AN74" s="15" t="s">
        <v>20</v>
      </c>
    </row>
    <row r="75" spans="1:40" x14ac:dyDescent="0.25">
      <c r="A75" s="44"/>
      <c r="B75" s="9">
        <v>43903</v>
      </c>
      <c r="C75" s="14" t="s">
        <v>46</v>
      </c>
      <c r="D75" s="11" t="s">
        <v>47</v>
      </c>
      <c r="E75" s="12">
        <v>428</v>
      </c>
      <c r="F75" s="15" t="s">
        <v>20</v>
      </c>
      <c r="AJ75" s="9">
        <v>43903</v>
      </c>
      <c r="AK75" s="14" t="s">
        <v>46</v>
      </c>
      <c r="AL75" s="11" t="s">
        <v>47</v>
      </c>
      <c r="AM75" s="12">
        <v>428</v>
      </c>
      <c r="AN75" s="15" t="s">
        <v>20</v>
      </c>
    </row>
    <row r="76" spans="1:40" x14ac:dyDescent="0.25">
      <c r="A76" s="44"/>
      <c r="B76" s="9">
        <v>43904</v>
      </c>
      <c r="C76" s="14" t="s">
        <v>49</v>
      </c>
      <c r="D76" s="11" t="s">
        <v>50</v>
      </c>
      <c r="E76" s="12">
        <v>794</v>
      </c>
      <c r="F76" s="15" t="s">
        <v>20</v>
      </c>
      <c r="AJ76" s="9">
        <v>43904</v>
      </c>
      <c r="AK76" s="14" t="s">
        <v>49</v>
      </c>
      <c r="AL76" s="11" t="s">
        <v>50</v>
      </c>
      <c r="AM76" s="12">
        <v>794</v>
      </c>
      <c r="AN76" s="15" t="s">
        <v>20</v>
      </c>
    </row>
    <row r="77" spans="1:40" x14ac:dyDescent="0.25">
      <c r="A77" s="44"/>
      <c r="B77" s="9">
        <v>43905</v>
      </c>
      <c r="C77" s="14" t="s">
        <v>52</v>
      </c>
      <c r="D77" s="11" t="s">
        <v>53</v>
      </c>
      <c r="E77" s="12">
        <v>1787</v>
      </c>
      <c r="F77" s="15" t="s">
        <v>20</v>
      </c>
      <c r="AJ77" s="9">
        <v>43905</v>
      </c>
      <c r="AK77" s="14" t="s">
        <v>52</v>
      </c>
      <c r="AL77" s="11" t="s">
        <v>53</v>
      </c>
      <c r="AM77" s="12">
        <v>1787</v>
      </c>
      <c r="AN77" s="15" t="s">
        <v>20</v>
      </c>
    </row>
    <row r="78" spans="1:40" x14ac:dyDescent="0.25">
      <c r="A78" s="44"/>
      <c r="B78" s="9">
        <v>43906</v>
      </c>
      <c r="C78" s="10" t="s">
        <v>12</v>
      </c>
      <c r="D78" s="11" t="s">
        <v>13</v>
      </c>
      <c r="E78" s="12">
        <v>4809</v>
      </c>
      <c r="F78" s="13" t="s">
        <v>11</v>
      </c>
      <c r="AJ78" s="9">
        <v>43906</v>
      </c>
      <c r="AK78" s="10" t="s">
        <v>12</v>
      </c>
      <c r="AL78" s="11" t="s">
        <v>13</v>
      </c>
      <c r="AM78" s="12">
        <v>4809</v>
      </c>
      <c r="AN78" s="13" t="s">
        <v>11</v>
      </c>
    </row>
    <row r="79" spans="1:40" x14ac:dyDescent="0.25">
      <c r="A79" s="44"/>
      <c r="B79" s="9">
        <v>43907</v>
      </c>
      <c r="C79" s="10" t="s">
        <v>15</v>
      </c>
      <c r="D79" s="11" t="s">
        <v>16</v>
      </c>
      <c r="E79" s="12">
        <v>4568</v>
      </c>
      <c r="F79" s="13" t="s">
        <v>11</v>
      </c>
      <c r="AJ79" s="9">
        <v>43907</v>
      </c>
      <c r="AK79" s="10" t="s">
        <v>15</v>
      </c>
      <c r="AL79" s="11" t="s">
        <v>16</v>
      </c>
      <c r="AM79" s="12">
        <v>4568</v>
      </c>
      <c r="AN79" s="13" t="s">
        <v>11</v>
      </c>
    </row>
    <row r="80" spans="1:40" x14ac:dyDescent="0.25">
      <c r="A80" s="44"/>
      <c r="B80" s="9">
        <v>43908</v>
      </c>
      <c r="C80" s="10" t="s">
        <v>18</v>
      </c>
      <c r="D80" s="11" t="s">
        <v>19</v>
      </c>
      <c r="E80" s="12">
        <v>1208</v>
      </c>
      <c r="F80" s="13" t="s">
        <v>11</v>
      </c>
      <c r="AJ80" s="9">
        <v>43908</v>
      </c>
      <c r="AK80" s="10" t="s">
        <v>18</v>
      </c>
      <c r="AL80" s="11" t="s">
        <v>19</v>
      </c>
      <c r="AM80" s="12">
        <v>1208</v>
      </c>
      <c r="AN80" s="13" t="s">
        <v>11</v>
      </c>
    </row>
    <row r="81" spans="1:40" x14ac:dyDescent="0.25">
      <c r="A81" s="44"/>
      <c r="B81" s="9">
        <v>43909</v>
      </c>
      <c r="C81" s="10" t="s">
        <v>21</v>
      </c>
      <c r="D81" s="11" t="s">
        <v>22</v>
      </c>
      <c r="E81" s="12">
        <v>1616</v>
      </c>
      <c r="F81" s="13" t="s">
        <v>11</v>
      </c>
      <c r="AJ81" s="9">
        <v>43909</v>
      </c>
      <c r="AK81" s="10" t="s">
        <v>21</v>
      </c>
      <c r="AL81" s="11" t="s">
        <v>22</v>
      </c>
      <c r="AM81" s="12">
        <v>1616</v>
      </c>
      <c r="AN81" s="13" t="s">
        <v>11</v>
      </c>
    </row>
    <row r="82" spans="1:40" x14ac:dyDescent="0.25">
      <c r="A82" s="44"/>
      <c r="B82" s="9">
        <v>43910</v>
      </c>
      <c r="C82" s="10" t="s">
        <v>24</v>
      </c>
      <c r="D82" s="11" t="s">
        <v>25</v>
      </c>
      <c r="E82" s="12">
        <v>1930</v>
      </c>
      <c r="F82" s="13" t="s">
        <v>14</v>
      </c>
      <c r="AJ82" s="9">
        <v>43910</v>
      </c>
      <c r="AK82" s="10" t="s">
        <v>24</v>
      </c>
      <c r="AL82" s="11" t="s">
        <v>25</v>
      </c>
      <c r="AM82" s="12">
        <v>1930</v>
      </c>
      <c r="AN82" s="13" t="s">
        <v>14</v>
      </c>
    </row>
    <row r="83" spans="1:40" x14ac:dyDescent="0.25">
      <c r="A83" s="44"/>
      <c r="B83" s="9">
        <v>43911</v>
      </c>
      <c r="C83" s="10" t="s">
        <v>26</v>
      </c>
      <c r="D83" s="11" t="s">
        <v>27</v>
      </c>
      <c r="E83" s="12">
        <v>1798</v>
      </c>
      <c r="F83" s="13" t="s">
        <v>14</v>
      </c>
      <c r="AJ83" s="9">
        <v>43911</v>
      </c>
      <c r="AK83" s="10" t="s">
        <v>26</v>
      </c>
      <c r="AL83" s="11" t="s">
        <v>27</v>
      </c>
      <c r="AM83" s="12">
        <v>1798</v>
      </c>
      <c r="AN83" s="13" t="s">
        <v>14</v>
      </c>
    </row>
    <row r="84" spans="1:40" x14ac:dyDescent="0.25">
      <c r="A84" s="44"/>
      <c r="B84" s="9">
        <v>43912</v>
      </c>
      <c r="C84" s="10" t="s">
        <v>28</v>
      </c>
      <c r="D84" s="11" t="s">
        <v>29</v>
      </c>
      <c r="E84" s="12">
        <v>653</v>
      </c>
      <c r="F84" s="13" t="s">
        <v>14</v>
      </c>
      <c r="AJ84" s="9">
        <v>43912</v>
      </c>
      <c r="AK84" s="10" t="s">
        <v>28</v>
      </c>
      <c r="AL84" s="11" t="s">
        <v>29</v>
      </c>
      <c r="AM84" s="12">
        <v>653</v>
      </c>
      <c r="AN84" s="13" t="s">
        <v>14</v>
      </c>
    </row>
    <row r="85" spans="1:40" x14ac:dyDescent="0.25">
      <c r="A85" s="44"/>
      <c r="B85" s="9">
        <v>43913</v>
      </c>
      <c r="C85" s="10" t="s">
        <v>31</v>
      </c>
      <c r="D85" s="11" t="s">
        <v>32</v>
      </c>
      <c r="E85" s="12">
        <v>755</v>
      </c>
      <c r="F85" s="13" t="s">
        <v>20</v>
      </c>
      <c r="AJ85" s="9">
        <v>43913</v>
      </c>
      <c r="AK85" s="10" t="s">
        <v>31</v>
      </c>
      <c r="AL85" s="11" t="s">
        <v>32</v>
      </c>
      <c r="AM85" s="12">
        <v>755</v>
      </c>
      <c r="AN85" s="13" t="s">
        <v>20</v>
      </c>
    </row>
    <row r="86" spans="1:40" x14ac:dyDescent="0.25">
      <c r="A86" s="44"/>
      <c r="B86" s="9">
        <v>43914</v>
      </c>
      <c r="C86" s="10" t="s">
        <v>34</v>
      </c>
      <c r="D86" s="11" t="s">
        <v>35</v>
      </c>
      <c r="E86" s="12">
        <v>700</v>
      </c>
      <c r="F86" s="13" t="s">
        <v>20</v>
      </c>
      <c r="AJ86" s="9">
        <v>43914</v>
      </c>
      <c r="AK86" s="10" t="s">
        <v>34</v>
      </c>
      <c r="AL86" s="11" t="s">
        <v>35</v>
      </c>
      <c r="AM86" s="12">
        <v>700</v>
      </c>
      <c r="AN86" s="13" t="s">
        <v>20</v>
      </c>
    </row>
    <row r="87" spans="1:40" x14ac:dyDescent="0.25">
      <c r="A87" s="44"/>
      <c r="B87" s="9">
        <v>43915</v>
      </c>
      <c r="C87" s="14" t="s">
        <v>37</v>
      </c>
      <c r="D87" s="11" t="s">
        <v>38</v>
      </c>
      <c r="E87" s="12">
        <v>724</v>
      </c>
      <c r="F87" s="15" t="s">
        <v>20</v>
      </c>
      <c r="AJ87" s="9">
        <v>43915</v>
      </c>
      <c r="AK87" s="14" t="s">
        <v>37</v>
      </c>
      <c r="AL87" s="11" t="s">
        <v>38</v>
      </c>
      <c r="AM87" s="12">
        <v>724</v>
      </c>
      <c r="AN87" s="15" t="s">
        <v>20</v>
      </c>
    </row>
    <row r="88" spans="1:40" x14ac:dyDescent="0.25">
      <c r="A88" s="44"/>
      <c r="B88" s="9">
        <v>43916</v>
      </c>
      <c r="C88" s="14" t="s">
        <v>40</v>
      </c>
      <c r="D88" s="11" t="s">
        <v>41</v>
      </c>
      <c r="E88" s="12">
        <v>1603</v>
      </c>
      <c r="F88" s="15" t="s">
        <v>20</v>
      </c>
      <c r="AJ88" s="9">
        <v>43916</v>
      </c>
      <c r="AK88" s="14" t="s">
        <v>40</v>
      </c>
      <c r="AL88" s="11" t="s">
        <v>41</v>
      </c>
      <c r="AM88" s="12">
        <v>1603</v>
      </c>
      <c r="AN88" s="15" t="s">
        <v>20</v>
      </c>
    </row>
    <row r="89" spans="1:40" x14ac:dyDescent="0.25">
      <c r="A89" s="44"/>
      <c r="B89" s="9">
        <v>43917</v>
      </c>
      <c r="C89" s="14" t="s">
        <v>43</v>
      </c>
      <c r="D89" s="11" t="s">
        <v>44</v>
      </c>
      <c r="E89" s="12">
        <v>1887</v>
      </c>
      <c r="F89" s="15" t="s">
        <v>20</v>
      </c>
      <c r="AJ89" s="9">
        <v>43917</v>
      </c>
      <c r="AK89" s="14" t="s">
        <v>43</v>
      </c>
      <c r="AL89" s="11" t="s">
        <v>44</v>
      </c>
      <c r="AM89" s="12">
        <v>1887</v>
      </c>
      <c r="AN89" s="15" t="s">
        <v>20</v>
      </c>
    </row>
    <row r="90" spans="1:40" x14ac:dyDescent="0.25">
      <c r="A90" s="44"/>
      <c r="B90" s="9">
        <v>43918</v>
      </c>
      <c r="C90" s="14" t="s">
        <v>46</v>
      </c>
      <c r="D90" s="11" t="s">
        <v>47</v>
      </c>
      <c r="E90" s="12">
        <v>543</v>
      </c>
      <c r="F90" s="15" t="s">
        <v>20</v>
      </c>
      <c r="AJ90" s="9">
        <v>43918</v>
      </c>
      <c r="AK90" s="14" t="s">
        <v>46</v>
      </c>
      <c r="AL90" s="11" t="s">
        <v>47</v>
      </c>
      <c r="AM90" s="12">
        <v>543</v>
      </c>
      <c r="AN90" s="15" t="s">
        <v>20</v>
      </c>
    </row>
    <row r="91" spans="1:40" x14ac:dyDescent="0.25">
      <c r="A91" s="44"/>
      <c r="B91" s="9">
        <v>43919</v>
      </c>
      <c r="C91" s="14" t="s">
        <v>49</v>
      </c>
      <c r="D91" s="11" t="s">
        <v>50</v>
      </c>
      <c r="E91" s="12">
        <v>441</v>
      </c>
      <c r="F91" s="15" t="s">
        <v>20</v>
      </c>
      <c r="AJ91" s="9">
        <v>43919</v>
      </c>
      <c r="AK91" s="14" t="s">
        <v>49</v>
      </c>
      <c r="AL91" s="11" t="s">
        <v>50</v>
      </c>
      <c r="AM91" s="12">
        <v>441</v>
      </c>
      <c r="AN91" s="15" t="s">
        <v>20</v>
      </c>
    </row>
    <row r="92" spans="1:40" x14ac:dyDescent="0.25">
      <c r="A92" s="44"/>
      <c r="B92" s="9">
        <v>43920</v>
      </c>
      <c r="C92" s="14" t="s">
        <v>52</v>
      </c>
      <c r="D92" s="11" t="s">
        <v>53</v>
      </c>
      <c r="E92" s="12">
        <v>1285</v>
      </c>
      <c r="F92" s="15" t="s">
        <v>20</v>
      </c>
      <c r="AJ92" s="9">
        <v>43920</v>
      </c>
      <c r="AK92" s="14" t="s">
        <v>52</v>
      </c>
      <c r="AL92" s="11" t="s">
        <v>53</v>
      </c>
      <c r="AM92" s="12">
        <v>1285</v>
      </c>
      <c r="AN92" s="15" t="s">
        <v>20</v>
      </c>
    </row>
    <row r="93" spans="1:40" x14ac:dyDescent="0.25">
      <c r="A93" s="44"/>
      <c r="B93" s="9">
        <v>43921</v>
      </c>
      <c r="C93" s="10" t="s">
        <v>12</v>
      </c>
      <c r="D93" s="11" t="s">
        <v>30</v>
      </c>
      <c r="E93" s="12">
        <v>4644</v>
      </c>
      <c r="F93" s="13" t="s">
        <v>11</v>
      </c>
      <c r="AJ93" s="9">
        <v>43921</v>
      </c>
      <c r="AK93" s="10" t="s">
        <v>12</v>
      </c>
      <c r="AL93" s="11" t="s">
        <v>30</v>
      </c>
      <c r="AM93" s="12">
        <v>4644</v>
      </c>
      <c r="AN93" s="13" t="s">
        <v>11</v>
      </c>
    </row>
    <row r="94" spans="1:40" x14ac:dyDescent="0.25">
      <c r="A94" s="44"/>
      <c r="B94" s="9">
        <v>43922</v>
      </c>
      <c r="C94" s="10" t="s">
        <v>15</v>
      </c>
      <c r="D94" s="11" t="s">
        <v>65</v>
      </c>
      <c r="E94" s="12">
        <v>4918</v>
      </c>
      <c r="F94" s="13" t="s">
        <v>11</v>
      </c>
      <c r="AJ94" s="9"/>
      <c r="AK94" s="10"/>
      <c r="AL94" s="11"/>
      <c r="AM94" s="12"/>
      <c r="AN94" s="13"/>
    </row>
    <row r="95" spans="1:40" x14ac:dyDescent="0.25">
      <c r="A95" s="44"/>
      <c r="B95" s="9">
        <v>43923</v>
      </c>
      <c r="C95" s="10" t="s">
        <v>18</v>
      </c>
      <c r="D95" s="11" t="s">
        <v>19</v>
      </c>
      <c r="E95" s="12">
        <v>154</v>
      </c>
      <c r="F95" s="13" t="s">
        <v>11</v>
      </c>
      <c r="AJ95" s="9"/>
      <c r="AK95" s="10"/>
      <c r="AL95" s="11"/>
      <c r="AM95" s="12"/>
      <c r="AN95" s="13"/>
    </row>
    <row r="96" spans="1:40" x14ac:dyDescent="0.25">
      <c r="A96" s="44"/>
      <c r="B96" s="9">
        <v>43924</v>
      </c>
      <c r="C96" s="10" t="s">
        <v>21</v>
      </c>
      <c r="D96" s="11" t="s">
        <v>22</v>
      </c>
      <c r="E96" s="12">
        <v>1573</v>
      </c>
      <c r="F96" s="13" t="s">
        <v>11</v>
      </c>
      <c r="AJ96" s="9"/>
      <c r="AK96" s="10"/>
      <c r="AL96" s="11"/>
      <c r="AM96" s="12"/>
      <c r="AN96" s="13"/>
    </row>
    <row r="97" spans="1:40" x14ac:dyDescent="0.25">
      <c r="A97" s="44"/>
      <c r="B97" s="9">
        <v>43925</v>
      </c>
      <c r="C97" s="10" t="s">
        <v>24</v>
      </c>
      <c r="D97" s="11" t="s">
        <v>66</v>
      </c>
      <c r="E97" s="12">
        <v>1931</v>
      </c>
      <c r="F97" s="13" t="s">
        <v>14</v>
      </c>
      <c r="AJ97" s="9"/>
      <c r="AK97" s="10"/>
      <c r="AL97" s="11"/>
      <c r="AM97" s="12"/>
      <c r="AN97" s="13"/>
    </row>
    <row r="98" spans="1:40" x14ac:dyDescent="0.25">
      <c r="A98" s="44"/>
      <c r="B98" s="9">
        <v>43926</v>
      </c>
      <c r="C98" s="10" t="s">
        <v>26</v>
      </c>
      <c r="D98" s="11" t="s">
        <v>67</v>
      </c>
      <c r="E98" s="12">
        <v>1864</v>
      </c>
      <c r="F98" s="13" t="s">
        <v>14</v>
      </c>
      <c r="AJ98" s="9"/>
      <c r="AK98" s="10"/>
      <c r="AL98" s="11"/>
      <c r="AM98" s="12"/>
      <c r="AN98" s="13"/>
    </row>
    <row r="99" spans="1:40" x14ac:dyDescent="0.25">
      <c r="A99" s="44"/>
      <c r="B99" s="9">
        <v>43927</v>
      </c>
      <c r="C99" s="10" t="s">
        <v>28</v>
      </c>
      <c r="D99" s="11" t="s">
        <v>29</v>
      </c>
      <c r="E99" s="12">
        <v>1637</v>
      </c>
      <c r="F99" s="13" t="s">
        <v>14</v>
      </c>
      <c r="AJ99" s="9"/>
      <c r="AK99" s="10"/>
      <c r="AL99" s="11"/>
      <c r="AM99" s="12"/>
      <c r="AN99" s="13"/>
    </row>
    <row r="100" spans="1:40" x14ac:dyDescent="0.25">
      <c r="A100" s="44"/>
      <c r="B100" s="9">
        <v>43928</v>
      </c>
      <c r="C100" s="10" t="s">
        <v>31</v>
      </c>
      <c r="D100" s="11" t="s">
        <v>68</v>
      </c>
      <c r="E100" s="12">
        <v>790</v>
      </c>
      <c r="F100" s="13" t="s">
        <v>20</v>
      </c>
      <c r="AJ100" s="9"/>
      <c r="AK100" s="10"/>
      <c r="AL100" s="11"/>
      <c r="AM100" s="12"/>
      <c r="AN100" s="13"/>
    </row>
    <row r="101" spans="1:40" x14ac:dyDescent="0.25">
      <c r="A101" s="44"/>
      <c r="B101" s="9">
        <v>43929</v>
      </c>
      <c r="C101" s="10" t="s">
        <v>34</v>
      </c>
      <c r="D101" s="11" t="s">
        <v>35</v>
      </c>
      <c r="E101" s="12">
        <v>631</v>
      </c>
      <c r="F101" s="13" t="s">
        <v>20</v>
      </c>
      <c r="AJ101" s="9"/>
      <c r="AK101" s="10"/>
      <c r="AL101" s="11"/>
      <c r="AM101" s="12"/>
      <c r="AN101" s="13"/>
    </row>
    <row r="102" spans="1:40" x14ac:dyDescent="0.25">
      <c r="A102" s="44"/>
      <c r="B102" s="9">
        <v>43930</v>
      </c>
      <c r="C102" s="14" t="s">
        <v>37</v>
      </c>
      <c r="D102" s="11" t="s">
        <v>38</v>
      </c>
      <c r="E102" s="12">
        <v>467</v>
      </c>
      <c r="F102" s="15" t="s">
        <v>20</v>
      </c>
      <c r="AJ102" s="9"/>
      <c r="AK102" s="14"/>
      <c r="AL102" s="11"/>
      <c r="AM102" s="12"/>
      <c r="AN102" s="15"/>
    </row>
    <row r="103" spans="1:40" x14ac:dyDescent="0.25">
      <c r="A103" s="44"/>
      <c r="B103" s="9">
        <v>43931</v>
      </c>
      <c r="C103" s="14" t="s">
        <v>40</v>
      </c>
      <c r="D103" s="11" t="s">
        <v>41</v>
      </c>
      <c r="E103" s="12">
        <v>766</v>
      </c>
      <c r="F103" s="15" t="s">
        <v>20</v>
      </c>
      <c r="AJ103" s="9"/>
      <c r="AK103" s="14"/>
      <c r="AL103" s="11"/>
      <c r="AM103" s="12"/>
      <c r="AN103" s="15"/>
    </row>
    <row r="104" spans="1:40" x14ac:dyDescent="0.25">
      <c r="A104" s="44"/>
      <c r="B104" s="9">
        <v>43932</v>
      </c>
      <c r="C104" s="14" t="s">
        <v>43</v>
      </c>
      <c r="D104" s="11" t="s">
        <v>44</v>
      </c>
      <c r="E104" s="12">
        <v>775</v>
      </c>
      <c r="F104" s="15" t="s">
        <v>20</v>
      </c>
      <c r="AJ104" s="9"/>
      <c r="AK104" s="14"/>
      <c r="AL104" s="11"/>
      <c r="AM104" s="12"/>
      <c r="AN104" s="15"/>
    </row>
    <row r="105" spans="1:40" x14ac:dyDescent="0.25">
      <c r="A105" s="44"/>
      <c r="B105" s="9">
        <v>43933</v>
      </c>
      <c r="C105" s="14" t="s">
        <v>46</v>
      </c>
      <c r="D105" s="11" t="s">
        <v>47</v>
      </c>
      <c r="E105" s="12">
        <v>514</v>
      </c>
      <c r="F105" s="15" t="s">
        <v>20</v>
      </c>
      <c r="AJ105" s="9"/>
      <c r="AK105" s="14"/>
      <c r="AL105" s="11"/>
      <c r="AM105" s="12"/>
      <c r="AN105" s="15"/>
    </row>
    <row r="106" spans="1:40" x14ac:dyDescent="0.25">
      <c r="A106" s="44"/>
      <c r="B106" s="9">
        <v>43934</v>
      </c>
      <c r="C106" s="14" t="s">
        <v>49</v>
      </c>
      <c r="D106" s="11" t="s">
        <v>50</v>
      </c>
      <c r="E106" s="12">
        <v>901</v>
      </c>
      <c r="F106" s="15" t="s">
        <v>20</v>
      </c>
      <c r="AJ106" s="9"/>
      <c r="AK106" s="14"/>
      <c r="AL106" s="11"/>
      <c r="AM106" s="12"/>
      <c r="AN106" s="15"/>
    </row>
    <row r="107" spans="1:40" x14ac:dyDescent="0.25">
      <c r="A107" s="44"/>
      <c r="B107" s="9">
        <v>43935</v>
      </c>
      <c r="C107" s="14" t="s">
        <v>52</v>
      </c>
      <c r="D107" s="11" t="s">
        <v>53</v>
      </c>
      <c r="E107" s="12">
        <v>638</v>
      </c>
      <c r="F107" s="15" t="s">
        <v>20</v>
      </c>
      <c r="AJ107" s="9"/>
      <c r="AK107" s="14"/>
      <c r="AL107" s="11"/>
      <c r="AM107" s="12"/>
      <c r="AN107" s="15"/>
    </row>
    <row r="108" spans="1:40" x14ac:dyDescent="0.25">
      <c r="A108" s="44"/>
      <c r="B108" s="9">
        <v>43936</v>
      </c>
      <c r="C108" s="10" t="s">
        <v>12</v>
      </c>
      <c r="D108" s="11" t="s">
        <v>33</v>
      </c>
      <c r="E108" s="12">
        <v>5243</v>
      </c>
      <c r="F108" s="13" t="s">
        <v>11</v>
      </c>
      <c r="AJ108" s="9"/>
      <c r="AK108" s="10"/>
      <c r="AL108" s="11"/>
      <c r="AM108" s="12"/>
      <c r="AN108" s="13"/>
    </row>
    <row r="109" spans="1:40" x14ac:dyDescent="0.25">
      <c r="A109" s="44"/>
      <c r="B109" s="9">
        <v>43937</v>
      </c>
      <c r="C109" s="10" t="s">
        <v>15</v>
      </c>
      <c r="D109" s="11" t="s">
        <v>69</v>
      </c>
      <c r="E109" s="12">
        <v>4247</v>
      </c>
      <c r="F109" s="13" t="s">
        <v>11</v>
      </c>
      <c r="AJ109" s="9"/>
      <c r="AK109" s="10"/>
      <c r="AL109" s="11"/>
      <c r="AM109" s="12"/>
      <c r="AN109" s="13"/>
    </row>
    <row r="110" spans="1:40" x14ac:dyDescent="0.25">
      <c r="A110" s="44"/>
      <c r="B110" s="9">
        <v>43938</v>
      </c>
      <c r="C110" s="10" t="s">
        <v>18</v>
      </c>
      <c r="D110" s="11" t="s">
        <v>19</v>
      </c>
      <c r="E110" s="12">
        <v>1324</v>
      </c>
      <c r="F110" s="13" t="s">
        <v>11</v>
      </c>
      <c r="AJ110" s="9"/>
      <c r="AK110" s="10"/>
      <c r="AL110" s="11"/>
      <c r="AM110" s="12"/>
      <c r="AN110" s="13"/>
    </row>
    <row r="111" spans="1:40" x14ac:dyDescent="0.25">
      <c r="A111" s="44"/>
      <c r="B111" s="9">
        <v>43939</v>
      </c>
      <c r="C111" s="10" t="s">
        <v>21</v>
      </c>
      <c r="D111" s="11" t="s">
        <v>22</v>
      </c>
      <c r="E111" s="12">
        <v>271</v>
      </c>
      <c r="F111" s="13" t="s">
        <v>11</v>
      </c>
      <c r="AJ111" s="9"/>
      <c r="AK111" s="10"/>
      <c r="AL111" s="11"/>
      <c r="AM111" s="12"/>
      <c r="AN111" s="13"/>
    </row>
    <row r="112" spans="1:40" x14ac:dyDescent="0.25">
      <c r="A112" s="44"/>
      <c r="B112" s="9">
        <v>43940</v>
      </c>
      <c r="C112" s="10" t="s">
        <v>24</v>
      </c>
      <c r="D112" s="11" t="s">
        <v>70</v>
      </c>
      <c r="E112" s="12">
        <v>1669</v>
      </c>
      <c r="F112" s="13" t="s">
        <v>14</v>
      </c>
      <c r="AJ112" s="9"/>
      <c r="AK112" s="10"/>
      <c r="AL112" s="11"/>
      <c r="AM112" s="12"/>
      <c r="AN112" s="13"/>
    </row>
    <row r="113" spans="1:40" x14ac:dyDescent="0.25">
      <c r="A113" s="44"/>
      <c r="B113" s="9">
        <v>43941</v>
      </c>
      <c r="C113" s="10" t="s">
        <v>26</v>
      </c>
      <c r="D113" s="11" t="s">
        <v>71</v>
      </c>
      <c r="E113" s="12">
        <v>1011</v>
      </c>
      <c r="F113" s="13" t="s">
        <v>14</v>
      </c>
      <c r="AJ113" s="9"/>
      <c r="AK113" s="10"/>
      <c r="AL113" s="11"/>
      <c r="AM113" s="12"/>
      <c r="AN113" s="13"/>
    </row>
    <row r="114" spans="1:40" x14ac:dyDescent="0.25">
      <c r="A114" s="44"/>
      <c r="B114" s="9">
        <v>43942</v>
      </c>
      <c r="C114" s="10" t="s">
        <v>28</v>
      </c>
      <c r="D114" s="11" t="s">
        <v>29</v>
      </c>
      <c r="E114" s="12">
        <v>690</v>
      </c>
      <c r="F114" s="13" t="s">
        <v>14</v>
      </c>
      <c r="AJ114" s="9"/>
      <c r="AK114" s="10"/>
      <c r="AL114" s="11"/>
      <c r="AM114" s="12"/>
      <c r="AN114" s="13"/>
    </row>
    <row r="115" spans="1:40" x14ac:dyDescent="0.25">
      <c r="A115" s="44"/>
      <c r="B115" s="9">
        <v>43943</v>
      </c>
      <c r="C115" s="10" t="s">
        <v>31</v>
      </c>
      <c r="D115" s="11" t="s">
        <v>72</v>
      </c>
      <c r="E115" s="12">
        <v>180</v>
      </c>
      <c r="F115" s="13" t="s">
        <v>20</v>
      </c>
      <c r="AJ115" s="9"/>
      <c r="AK115" s="10"/>
      <c r="AL115" s="11"/>
      <c r="AM115" s="12"/>
      <c r="AN115" s="13"/>
    </row>
    <row r="116" spans="1:40" x14ac:dyDescent="0.25">
      <c r="A116" s="44"/>
      <c r="B116" s="9">
        <v>43944</v>
      </c>
      <c r="C116" s="10" t="s">
        <v>34</v>
      </c>
      <c r="D116" s="11" t="s">
        <v>35</v>
      </c>
      <c r="E116" s="12">
        <v>446</v>
      </c>
      <c r="F116" s="13" t="s">
        <v>20</v>
      </c>
      <c r="AJ116" s="9"/>
      <c r="AK116" s="10"/>
      <c r="AL116" s="11"/>
      <c r="AM116" s="12"/>
      <c r="AN116" s="13"/>
    </row>
    <row r="117" spans="1:40" x14ac:dyDescent="0.25">
      <c r="A117" s="44"/>
      <c r="B117" s="9">
        <v>43945</v>
      </c>
      <c r="C117" s="14" t="s">
        <v>37</v>
      </c>
      <c r="D117" s="11" t="s">
        <v>38</v>
      </c>
      <c r="E117" s="12">
        <v>1715</v>
      </c>
      <c r="F117" s="15" t="s">
        <v>20</v>
      </c>
      <c r="AJ117" s="9"/>
      <c r="AK117" s="14"/>
      <c r="AL117" s="11"/>
      <c r="AM117" s="12"/>
      <c r="AN117" s="15"/>
    </row>
    <row r="118" spans="1:40" x14ac:dyDescent="0.25">
      <c r="A118" s="44"/>
      <c r="B118" s="9">
        <v>43946</v>
      </c>
      <c r="C118" s="14" t="s">
        <v>40</v>
      </c>
      <c r="D118" s="11" t="s">
        <v>41</v>
      </c>
      <c r="E118" s="12">
        <v>48</v>
      </c>
      <c r="F118" s="15" t="s">
        <v>20</v>
      </c>
      <c r="AJ118" s="9"/>
      <c r="AK118" s="14"/>
      <c r="AL118" s="11"/>
      <c r="AM118" s="12"/>
      <c r="AN118" s="15"/>
    </row>
    <row r="119" spans="1:40" x14ac:dyDescent="0.25">
      <c r="A119" s="44"/>
      <c r="B119" s="9">
        <v>43947</v>
      </c>
      <c r="C119" s="14" t="s">
        <v>43</v>
      </c>
      <c r="D119" s="11" t="s">
        <v>44</v>
      </c>
      <c r="E119" s="12">
        <v>804</v>
      </c>
      <c r="F119" s="15" t="s">
        <v>20</v>
      </c>
      <c r="AJ119" s="9"/>
      <c r="AK119" s="14"/>
      <c r="AL119" s="11"/>
      <c r="AM119" s="12"/>
      <c r="AN119" s="15"/>
    </row>
    <row r="120" spans="1:40" x14ac:dyDescent="0.25">
      <c r="A120" s="44"/>
      <c r="B120" s="9">
        <v>43948</v>
      </c>
      <c r="C120" s="14" t="s">
        <v>46</v>
      </c>
      <c r="D120" s="11" t="s">
        <v>47</v>
      </c>
      <c r="E120" s="12">
        <v>1083</v>
      </c>
      <c r="F120" s="15" t="s">
        <v>20</v>
      </c>
      <c r="AJ120" s="9"/>
      <c r="AK120" s="14"/>
      <c r="AL120" s="11"/>
      <c r="AM120" s="12"/>
      <c r="AN120" s="15"/>
    </row>
    <row r="121" spans="1:40" x14ac:dyDescent="0.25">
      <c r="A121" s="44"/>
      <c r="B121" s="9">
        <v>43949</v>
      </c>
      <c r="C121" s="14" t="s">
        <v>49</v>
      </c>
      <c r="D121" s="11" t="s">
        <v>50</v>
      </c>
      <c r="E121" s="12">
        <v>785</v>
      </c>
      <c r="F121" s="15" t="s">
        <v>20</v>
      </c>
      <c r="AJ121" s="9"/>
      <c r="AK121" s="14"/>
      <c r="AL121" s="11"/>
      <c r="AM121" s="12"/>
      <c r="AN121" s="15"/>
    </row>
    <row r="122" spans="1:40" x14ac:dyDescent="0.25">
      <c r="A122" s="44"/>
      <c r="B122" s="9">
        <v>43950</v>
      </c>
      <c r="C122" s="14" t="s">
        <v>52</v>
      </c>
      <c r="D122" s="11" t="s">
        <v>53</v>
      </c>
      <c r="E122" s="12">
        <v>1558</v>
      </c>
      <c r="F122" s="15" t="s">
        <v>20</v>
      </c>
      <c r="AJ122" s="9"/>
      <c r="AK122" s="14"/>
      <c r="AL122" s="11"/>
      <c r="AM122" s="12"/>
      <c r="AN122" s="15"/>
    </row>
    <row r="123" spans="1:40" x14ac:dyDescent="0.25">
      <c r="A123" s="44"/>
      <c r="B123" s="9">
        <v>43951</v>
      </c>
      <c r="C123" s="10" t="s">
        <v>12</v>
      </c>
      <c r="D123" s="11" t="s">
        <v>36</v>
      </c>
      <c r="E123" s="12">
        <v>4227</v>
      </c>
      <c r="F123" s="13" t="s">
        <v>11</v>
      </c>
      <c r="AJ123" s="9"/>
      <c r="AK123" s="10"/>
      <c r="AL123" s="11"/>
      <c r="AM123" s="12"/>
      <c r="AN123" s="13"/>
    </row>
    <row r="124" spans="1:40" x14ac:dyDescent="0.25">
      <c r="A124" s="44"/>
      <c r="B124" s="9">
        <v>43952</v>
      </c>
      <c r="C124" s="10" t="s">
        <v>15</v>
      </c>
      <c r="D124" s="11" t="s">
        <v>73</v>
      </c>
      <c r="E124" s="12">
        <v>4003</v>
      </c>
      <c r="F124" s="13" t="s">
        <v>11</v>
      </c>
      <c r="AJ124" s="9"/>
      <c r="AK124" s="10"/>
      <c r="AL124" s="11"/>
      <c r="AM124" s="12"/>
      <c r="AN124" s="13"/>
    </row>
    <row r="125" spans="1:40" x14ac:dyDescent="0.25">
      <c r="A125" s="44"/>
      <c r="B125" s="9">
        <v>43953</v>
      </c>
      <c r="C125" s="10" t="s">
        <v>18</v>
      </c>
      <c r="D125" s="11" t="s">
        <v>19</v>
      </c>
      <c r="E125" s="12">
        <v>3253</v>
      </c>
      <c r="F125" s="13" t="s">
        <v>11</v>
      </c>
      <c r="AJ125" s="9"/>
      <c r="AK125" s="10"/>
      <c r="AL125" s="11"/>
      <c r="AM125" s="12"/>
      <c r="AN125" s="13"/>
    </row>
    <row r="126" spans="1:40" x14ac:dyDescent="0.25">
      <c r="A126" s="44"/>
      <c r="B126" s="9">
        <v>43954</v>
      </c>
      <c r="C126" s="10" t="s">
        <v>21</v>
      </c>
      <c r="D126" s="11" t="s">
        <v>22</v>
      </c>
      <c r="E126" s="12">
        <v>821</v>
      </c>
      <c r="F126" s="13" t="s">
        <v>11</v>
      </c>
      <c r="AJ126" s="9"/>
      <c r="AK126" s="10"/>
      <c r="AL126" s="11"/>
      <c r="AM126" s="12"/>
      <c r="AN126" s="13"/>
    </row>
    <row r="127" spans="1:40" x14ac:dyDescent="0.25">
      <c r="A127" s="44"/>
      <c r="B127" s="9">
        <v>43955</v>
      </c>
      <c r="C127" s="10" t="s">
        <v>24</v>
      </c>
      <c r="D127" s="11" t="s">
        <v>74</v>
      </c>
      <c r="E127" s="12">
        <v>1598</v>
      </c>
      <c r="F127" s="13" t="s">
        <v>14</v>
      </c>
      <c r="AJ127" s="9"/>
      <c r="AK127" s="10"/>
      <c r="AL127" s="11"/>
      <c r="AM127" s="12"/>
      <c r="AN127" s="13"/>
    </row>
    <row r="128" spans="1:40" x14ac:dyDescent="0.25">
      <c r="A128" s="44"/>
      <c r="B128" s="9">
        <v>43956</v>
      </c>
      <c r="C128" s="10" t="s">
        <v>26</v>
      </c>
      <c r="D128" s="11" t="s">
        <v>75</v>
      </c>
      <c r="E128" s="12">
        <v>1179</v>
      </c>
      <c r="F128" s="13" t="s">
        <v>14</v>
      </c>
      <c r="AJ128" s="9"/>
      <c r="AK128" s="10"/>
      <c r="AL128" s="11"/>
      <c r="AM128" s="12"/>
      <c r="AN128" s="13"/>
    </row>
    <row r="129" spans="1:40" x14ac:dyDescent="0.25">
      <c r="A129" s="44"/>
      <c r="B129" s="9">
        <v>43957</v>
      </c>
      <c r="C129" s="10" t="s">
        <v>28</v>
      </c>
      <c r="D129" s="11" t="s">
        <v>29</v>
      </c>
      <c r="E129" s="12">
        <v>1580</v>
      </c>
      <c r="F129" s="13" t="s">
        <v>14</v>
      </c>
      <c r="AJ129" s="9"/>
      <c r="AK129" s="10"/>
      <c r="AL129" s="11"/>
      <c r="AM129" s="12"/>
      <c r="AN129" s="13"/>
    </row>
    <row r="130" spans="1:40" x14ac:dyDescent="0.25">
      <c r="A130" s="44"/>
      <c r="B130" s="9">
        <v>43958</v>
      </c>
      <c r="C130" s="10" t="s">
        <v>31</v>
      </c>
      <c r="D130" s="11" t="s">
        <v>76</v>
      </c>
      <c r="E130" s="12">
        <v>70</v>
      </c>
      <c r="F130" s="13" t="s">
        <v>20</v>
      </c>
      <c r="AJ130" s="9"/>
      <c r="AK130" s="10"/>
      <c r="AL130" s="11"/>
      <c r="AM130" s="12"/>
      <c r="AN130" s="13"/>
    </row>
    <row r="131" spans="1:40" x14ac:dyDescent="0.25">
      <c r="A131" s="44"/>
      <c r="B131" s="9">
        <v>43959</v>
      </c>
      <c r="C131" s="10" t="s">
        <v>34</v>
      </c>
      <c r="D131" s="11" t="s">
        <v>35</v>
      </c>
      <c r="E131" s="12">
        <v>1177</v>
      </c>
      <c r="F131" s="13" t="s">
        <v>20</v>
      </c>
      <c r="AJ131" s="9"/>
      <c r="AK131" s="10"/>
      <c r="AL131" s="11"/>
      <c r="AM131" s="12"/>
      <c r="AN131" s="13"/>
    </row>
    <row r="132" spans="1:40" x14ac:dyDescent="0.25">
      <c r="A132" s="44"/>
      <c r="B132" s="9">
        <v>43960</v>
      </c>
      <c r="C132" s="14" t="s">
        <v>37</v>
      </c>
      <c r="D132" s="11" t="s">
        <v>38</v>
      </c>
      <c r="E132" s="12">
        <v>283</v>
      </c>
      <c r="F132" s="15" t="s">
        <v>20</v>
      </c>
      <c r="AJ132" s="9"/>
      <c r="AK132" s="14"/>
      <c r="AL132" s="11"/>
      <c r="AM132" s="12"/>
      <c r="AN132" s="15"/>
    </row>
    <row r="133" spans="1:40" x14ac:dyDescent="0.25">
      <c r="A133" s="44"/>
      <c r="B133" s="9">
        <v>43961</v>
      </c>
      <c r="C133" s="14" t="s">
        <v>40</v>
      </c>
      <c r="D133" s="11" t="s">
        <v>41</v>
      </c>
      <c r="E133" s="12">
        <v>322</v>
      </c>
      <c r="F133" s="15" t="s">
        <v>20</v>
      </c>
      <c r="AJ133" s="9"/>
      <c r="AK133" s="14"/>
      <c r="AL133" s="11"/>
      <c r="AM133" s="12"/>
      <c r="AN133" s="15"/>
    </row>
    <row r="134" spans="1:40" x14ac:dyDescent="0.25">
      <c r="A134" s="44"/>
      <c r="B134" s="9">
        <v>43962</v>
      </c>
      <c r="C134" s="14" t="s">
        <v>43</v>
      </c>
      <c r="D134" s="11" t="s">
        <v>44</v>
      </c>
      <c r="E134" s="12">
        <v>1434</v>
      </c>
      <c r="F134" s="15" t="s">
        <v>20</v>
      </c>
      <c r="AJ134" s="9"/>
      <c r="AK134" s="14"/>
      <c r="AL134" s="11"/>
      <c r="AM134" s="12"/>
      <c r="AN134" s="15"/>
    </row>
    <row r="135" spans="1:40" x14ac:dyDescent="0.25">
      <c r="A135" s="44"/>
      <c r="B135" s="9">
        <v>43963</v>
      </c>
      <c r="C135" s="14" t="s">
        <v>46</v>
      </c>
      <c r="D135" s="11" t="s">
        <v>47</v>
      </c>
      <c r="E135" s="12">
        <v>481</v>
      </c>
      <c r="F135" s="15" t="s">
        <v>20</v>
      </c>
      <c r="AJ135" s="9"/>
      <c r="AK135" s="14"/>
      <c r="AL135" s="11"/>
      <c r="AM135" s="12"/>
      <c r="AN135" s="15"/>
    </row>
    <row r="136" spans="1:40" x14ac:dyDescent="0.25">
      <c r="A136" s="44"/>
      <c r="B136" s="9">
        <v>43964</v>
      </c>
      <c r="C136" s="14" t="s">
        <v>49</v>
      </c>
      <c r="D136" s="11" t="s">
        <v>50</v>
      </c>
      <c r="E136" s="12">
        <v>671</v>
      </c>
      <c r="F136" s="15" t="s">
        <v>20</v>
      </c>
      <c r="AJ136" s="9"/>
      <c r="AK136" s="14"/>
      <c r="AL136" s="11"/>
      <c r="AM136" s="12"/>
      <c r="AN136" s="15"/>
    </row>
    <row r="137" spans="1:40" x14ac:dyDescent="0.25">
      <c r="A137" s="44"/>
      <c r="B137" s="9">
        <v>43965</v>
      </c>
      <c r="C137" s="14" t="s">
        <v>52</v>
      </c>
      <c r="D137" s="11" t="s">
        <v>53</v>
      </c>
      <c r="E137" s="12">
        <v>1728</v>
      </c>
      <c r="F137" s="15" t="s">
        <v>20</v>
      </c>
      <c r="AJ137" s="9"/>
      <c r="AK137" s="14"/>
      <c r="AL137" s="11"/>
      <c r="AM137" s="12"/>
      <c r="AN137" s="15"/>
    </row>
    <row r="138" spans="1:40" x14ac:dyDescent="0.25">
      <c r="A138" s="44"/>
      <c r="B138" s="9">
        <v>43966</v>
      </c>
      <c r="C138" s="10" t="s">
        <v>12</v>
      </c>
      <c r="D138" s="11" t="s">
        <v>39</v>
      </c>
      <c r="E138" s="12">
        <v>3508</v>
      </c>
      <c r="F138" s="13" t="s">
        <v>11</v>
      </c>
      <c r="AJ138" s="9"/>
      <c r="AK138" s="10"/>
      <c r="AL138" s="11"/>
      <c r="AM138" s="12"/>
      <c r="AN138" s="13"/>
    </row>
    <row r="139" spans="1:40" x14ac:dyDescent="0.25">
      <c r="A139" s="44"/>
      <c r="B139" s="9">
        <v>43967</v>
      </c>
      <c r="C139" s="10" t="s">
        <v>15</v>
      </c>
      <c r="D139" s="11" t="s">
        <v>77</v>
      </c>
      <c r="E139" s="12">
        <v>3868</v>
      </c>
      <c r="F139" s="13" t="s">
        <v>11</v>
      </c>
      <c r="AJ139" s="9"/>
      <c r="AK139" s="10"/>
      <c r="AL139" s="11"/>
      <c r="AM139" s="12"/>
      <c r="AN139" s="13"/>
    </row>
    <row r="140" spans="1:40" x14ac:dyDescent="0.25">
      <c r="A140" s="44"/>
      <c r="B140" s="9">
        <v>43968</v>
      </c>
      <c r="C140" s="10" t="s">
        <v>18</v>
      </c>
      <c r="D140" s="11" t="s">
        <v>19</v>
      </c>
      <c r="E140" s="12">
        <v>5857</v>
      </c>
      <c r="F140" s="13" t="s">
        <v>11</v>
      </c>
      <c r="AJ140" s="9"/>
      <c r="AK140" s="10"/>
      <c r="AL140" s="11"/>
      <c r="AM140" s="12"/>
      <c r="AN140" s="13"/>
    </row>
    <row r="141" spans="1:40" x14ac:dyDescent="0.25">
      <c r="A141" s="44"/>
      <c r="B141" s="9">
        <v>43969</v>
      </c>
      <c r="C141" s="10" t="s">
        <v>21</v>
      </c>
      <c r="D141" s="11" t="s">
        <v>22</v>
      </c>
      <c r="E141" s="12">
        <v>1226</v>
      </c>
      <c r="F141" s="13" t="s">
        <v>11</v>
      </c>
      <c r="AJ141" s="9"/>
      <c r="AK141" s="10"/>
      <c r="AL141" s="11"/>
      <c r="AM141" s="12"/>
      <c r="AN141" s="13"/>
    </row>
    <row r="142" spans="1:40" x14ac:dyDescent="0.25">
      <c r="A142" s="44"/>
      <c r="B142" s="9">
        <v>43970</v>
      </c>
      <c r="C142" s="10" t="s">
        <v>24</v>
      </c>
      <c r="D142" s="11" t="s">
        <v>78</v>
      </c>
      <c r="E142" s="12">
        <v>1700</v>
      </c>
      <c r="F142" s="13" t="s">
        <v>14</v>
      </c>
      <c r="AJ142" s="9"/>
      <c r="AK142" s="10"/>
      <c r="AL142" s="11"/>
      <c r="AM142" s="12"/>
      <c r="AN142" s="13"/>
    </row>
    <row r="143" spans="1:40" x14ac:dyDescent="0.25">
      <c r="A143" s="44"/>
      <c r="B143" s="9">
        <v>43971</v>
      </c>
      <c r="C143" s="10" t="s">
        <v>26</v>
      </c>
      <c r="D143" s="11" t="s">
        <v>79</v>
      </c>
      <c r="E143" s="12">
        <v>978</v>
      </c>
      <c r="F143" s="13" t="s">
        <v>14</v>
      </c>
      <c r="AJ143" s="9"/>
      <c r="AK143" s="10"/>
      <c r="AL143" s="11"/>
      <c r="AM143" s="12"/>
      <c r="AN143" s="13"/>
    </row>
    <row r="144" spans="1:40" x14ac:dyDescent="0.25">
      <c r="A144" s="44"/>
      <c r="B144" s="9">
        <v>43972</v>
      </c>
      <c r="C144" s="10" t="s">
        <v>28</v>
      </c>
      <c r="D144" s="11" t="s">
        <v>29</v>
      </c>
      <c r="E144" s="12">
        <v>372</v>
      </c>
      <c r="F144" s="13" t="s">
        <v>14</v>
      </c>
      <c r="AJ144" s="9"/>
      <c r="AK144" s="10"/>
      <c r="AL144" s="11"/>
      <c r="AM144" s="12"/>
      <c r="AN144" s="13"/>
    </row>
    <row r="145" spans="1:40" x14ac:dyDescent="0.25">
      <c r="A145" s="44"/>
      <c r="B145" s="9">
        <v>43973</v>
      </c>
      <c r="C145" s="10" t="s">
        <v>31</v>
      </c>
      <c r="D145" s="11" t="s">
        <v>80</v>
      </c>
      <c r="E145" s="12">
        <v>1765</v>
      </c>
      <c r="F145" s="13" t="s">
        <v>20</v>
      </c>
      <c r="AJ145" s="9"/>
      <c r="AK145" s="10"/>
      <c r="AL145" s="11"/>
      <c r="AM145" s="12"/>
      <c r="AN145" s="13"/>
    </row>
    <row r="146" spans="1:40" x14ac:dyDescent="0.25">
      <c r="A146" s="44"/>
      <c r="B146" s="9">
        <v>43974</v>
      </c>
      <c r="C146" s="10" t="s">
        <v>34</v>
      </c>
      <c r="D146" s="11" t="s">
        <v>35</v>
      </c>
      <c r="E146" s="12">
        <v>1954</v>
      </c>
      <c r="F146" s="13" t="s">
        <v>20</v>
      </c>
      <c r="AJ146" s="9"/>
      <c r="AK146" s="10"/>
      <c r="AL146" s="11"/>
      <c r="AM146" s="12"/>
      <c r="AN146" s="13"/>
    </row>
    <row r="147" spans="1:40" x14ac:dyDescent="0.25">
      <c r="A147" s="44"/>
      <c r="B147" s="9">
        <v>43975</v>
      </c>
      <c r="C147" s="14" t="s">
        <v>37</v>
      </c>
      <c r="D147" s="11" t="s">
        <v>38</v>
      </c>
      <c r="E147" s="12">
        <v>885</v>
      </c>
      <c r="F147" s="15" t="s">
        <v>20</v>
      </c>
      <c r="AJ147" s="9"/>
      <c r="AK147" s="14"/>
      <c r="AL147" s="11"/>
      <c r="AM147" s="12"/>
      <c r="AN147" s="15"/>
    </row>
    <row r="148" spans="1:40" x14ac:dyDescent="0.25">
      <c r="A148" s="44"/>
      <c r="B148" s="9">
        <v>43976</v>
      </c>
      <c r="C148" s="14" t="s">
        <v>40</v>
      </c>
      <c r="D148" s="11" t="s">
        <v>41</v>
      </c>
      <c r="E148" s="12">
        <v>1732</v>
      </c>
      <c r="F148" s="15" t="s">
        <v>20</v>
      </c>
      <c r="AJ148" s="9"/>
      <c r="AK148" s="14"/>
      <c r="AL148" s="11"/>
      <c r="AM148" s="12"/>
      <c r="AN148" s="15"/>
    </row>
    <row r="149" spans="1:40" x14ac:dyDescent="0.25">
      <c r="A149" s="44"/>
      <c r="B149" s="9">
        <v>43977</v>
      </c>
      <c r="C149" s="14" t="s">
        <v>43</v>
      </c>
      <c r="D149" s="11" t="s">
        <v>44</v>
      </c>
      <c r="E149" s="12">
        <v>289</v>
      </c>
      <c r="F149" s="15" t="s">
        <v>20</v>
      </c>
      <c r="AJ149" s="9"/>
      <c r="AK149" s="14"/>
      <c r="AL149" s="11"/>
      <c r="AM149" s="12"/>
      <c r="AN149" s="15"/>
    </row>
    <row r="150" spans="1:40" x14ac:dyDescent="0.25">
      <c r="A150" s="44"/>
      <c r="B150" s="9">
        <v>43978</v>
      </c>
      <c r="C150" s="14" t="s">
        <v>46</v>
      </c>
      <c r="D150" s="11" t="s">
        <v>47</v>
      </c>
      <c r="E150" s="12">
        <v>1553</v>
      </c>
      <c r="F150" s="15" t="s">
        <v>20</v>
      </c>
      <c r="AJ150" s="9"/>
      <c r="AK150" s="14"/>
      <c r="AL150" s="11"/>
      <c r="AM150" s="12"/>
      <c r="AN150" s="15"/>
    </row>
    <row r="151" spans="1:40" x14ac:dyDescent="0.25">
      <c r="A151" s="44"/>
      <c r="B151" s="9">
        <v>43979</v>
      </c>
      <c r="C151" s="14" t="s">
        <v>49</v>
      </c>
      <c r="D151" s="11" t="s">
        <v>50</v>
      </c>
      <c r="E151" s="12">
        <v>1958</v>
      </c>
      <c r="F151" s="15" t="s">
        <v>20</v>
      </c>
      <c r="AJ151" s="9"/>
      <c r="AK151" s="14"/>
      <c r="AL151" s="11"/>
      <c r="AM151" s="12"/>
      <c r="AN151" s="15"/>
    </row>
    <row r="152" spans="1:40" x14ac:dyDescent="0.25">
      <c r="A152" s="44"/>
      <c r="B152" s="9">
        <v>43980</v>
      </c>
      <c r="C152" s="14" t="s">
        <v>52</v>
      </c>
      <c r="D152" s="11" t="s">
        <v>53</v>
      </c>
      <c r="E152" s="12">
        <v>465</v>
      </c>
      <c r="F152" s="15" t="s">
        <v>20</v>
      </c>
      <c r="AJ152" s="9"/>
      <c r="AK152" s="14"/>
      <c r="AL152" s="11"/>
      <c r="AM152" s="12"/>
      <c r="AN152" s="15"/>
    </row>
    <row r="153" spans="1:40" x14ac:dyDescent="0.25">
      <c r="A153" s="44"/>
      <c r="B153" s="9">
        <v>43981</v>
      </c>
      <c r="C153" s="10" t="s">
        <v>12</v>
      </c>
      <c r="D153" s="11" t="s">
        <v>42</v>
      </c>
      <c r="E153" s="12">
        <v>2408</v>
      </c>
      <c r="F153" s="13" t="s">
        <v>11</v>
      </c>
      <c r="AJ153" s="9"/>
      <c r="AK153" s="10"/>
      <c r="AL153" s="11"/>
      <c r="AM153" s="12"/>
      <c r="AN153" s="13"/>
    </row>
    <row r="154" spans="1:40" x14ac:dyDescent="0.25">
      <c r="A154" s="44"/>
      <c r="B154" s="9">
        <v>43982</v>
      </c>
      <c r="C154" s="10" t="s">
        <v>15</v>
      </c>
      <c r="D154" s="11" t="s">
        <v>81</v>
      </c>
      <c r="E154" s="12">
        <v>3254</v>
      </c>
      <c r="F154" s="13" t="s">
        <v>11</v>
      </c>
      <c r="AJ154" s="9"/>
      <c r="AK154" s="10"/>
      <c r="AL154" s="11"/>
      <c r="AM154" s="12"/>
      <c r="AN154" s="13"/>
    </row>
    <row r="155" spans="1:40" x14ac:dyDescent="0.25">
      <c r="A155" s="44"/>
      <c r="B155" s="9">
        <v>43983</v>
      </c>
      <c r="C155" s="10" t="s">
        <v>18</v>
      </c>
      <c r="D155" s="11" t="s">
        <v>19</v>
      </c>
      <c r="E155" s="12">
        <v>3312</v>
      </c>
      <c r="F155" s="13" t="s">
        <v>11</v>
      </c>
      <c r="AJ155" s="9"/>
      <c r="AK155" s="10"/>
      <c r="AL155" s="11"/>
      <c r="AM155" s="12"/>
      <c r="AN155" s="13"/>
    </row>
    <row r="156" spans="1:40" x14ac:dyDescent="0.25">
      <c r="A156" s="44"/>
      <c r="B156" s="9">
        <v>43984</v>
      </c>
      <c r="C156" s="10" t="s">
        <v>21</v>
      </c>
      <c r="D156" s="11" t="s">
        <v>22</v>
      </c>
      <c r="E156" s="12">
        <v>986</v>
      </c>
      <c r="F156" s="13" t="s">
        <v>11</v>
      </c>
      <c r="AJ156" s="9"/>
      <c r="AK156" s="10"/>
      <c r="AL156" s="11"/>
      <c r="AM156" s="12"/>
      <c r="AN156" s="13"/>
    </row>
    <row r="157" spans="1:40" x14ac:dyDescent="0.25">
      <c r="A157" s="44"/>
      <c r="B157" s="9">
        <v>43985</v>
      </c>
      <c r="C157" s="10" t="s">
        <v>24</v>
      </c>
      <c r="D157" s="11" t="s">
        <v>82</v>
      </c>
      <c r="E157" s="12">
        <v>930</v>
      </c>
      <c r="F157" s="13" t="s">
        <v>14</v>
      </c>
      <c r="AJ157" s="9"/>
      <c r="AK157" s="10"/>
      <c r="AL157" s="11"/>
      <c r="AM157" s="12"/>
      <c r="AN157" s="13"/>
    </row>
    <row r="158" spans="1:40" x14ac:dyDescent="0.25">
      <c r="A158" s="44"/>
      <c r="B158" s="9">
        <v>43986</v>
      </c>
      <c r="C158" s="10" t="s">
        <v>26</v>
      </c>
      <c r="D158" s="11" t="s">
        <v>83</v>
      </c>
      <c r="E158" s="12">
        <v>105</v>
      </c>
      <c r="F158" s="13" t="s">
        <v>14</v>
      </c>
      <c r="AJ158" s="9"/>
      <c r="AK158" s="10"/>
      <c r="AL158" s="11"/>
      <c r="AM158" s="12"/>
      <c r="AN158" s="13"/>
    </row>
    <row r="159" spans="1:40" x14ac:dyDescent="0.25">
      <c r="A159" s="44"/>
      <c r="B159" s="9">
        <v>43987</v>
      </c>
      <c r="C159" s="10" t="s">
        <v>28</v>
      </c>
      <c r="D159" s="11" t="s">
        <v>29</v>
      </c>
      <c r="E159" s="12">
        <v>1988</v>
      </c>
      <c r="F159" s="13" t="s">
        <v>14</v>
      </c>
      <c r="AJ159" s="9"/>
      <c r="AK159" s="10"/>
      <c r="AL159" s="11"/>
      <c r="AM159" s="12"/>
      <c r="AN159" s="13"/>
    </row>
    <row r="160" spans="1:40" x14ac:dyDescent="0.25">
      <c r="A160" s="44"/>
      <c r="B160" s="9">
        <v>43988</v>
      </c>
      <c r="C160" s="10" t="s">
        <v>31</v>
      </c>
      <c r="D160" s="11" t="s">
        <v>84</v>
      </c>
      <c r="E160" s="12">
        <v>141</v>
      </c>
      <c r="F160" s="13" t="s">
        <v>20</v>
      </c>
      <c r="AJ160" s="9"/>
      <c r="AK160" s="10"/>
      <c r="AL160" s="11"/>
      <c r="AM160" s="12"/>
      <c r="AN160" s="13"/>
    </row>
    <row r="161" spans="1:40" x14ac:dyDescent="0.25">
      <c r="A161" s="44"/>
      <c r="B161" s="9">
        <v>43989</v>
      </c>
      <c r="C161" s="10" t="s">
        <v>34</v>
      </c>
      <c r="D161" s="11" t="s">
        <v>35</v>
      </c>
      <c r="E161" s="12">
        <v>83</v>
      </c>
      <c r="F161" s="13" t="s">
        <v>20</v>
      </c>
      <c r="AJ161" s="9"/>
      <c r="AK161" s="10"/>
      <c r="AL161" s="11"/>
      <c r="AM161" s="12"/>
      <c r="AN161" s="13"/>
    </row>
    <row r="162" spans="1:40" x14ac:dyDescent="0.25">
      <c r="A162" s="44"/>
      <c r="B162" s="9">
        <v>43990</v>
      </c>
      <c r="C162" s="14" t="s">
        <v>37</v>
      </c>
      <c r="D162" s="11" t="s">
        <v>38</v>
      </c>
      <c r="E162" s="12">
        <v>1650</v>
      </c>
      <c r="F162" s="15" t="s">
        <v>20</v>
      </c>
      <c r="AJ162" s="9"/>
      <c r="AK162" s="14"/>
      <c r="AL162" s="11"/>
      <c r="AM162" s="12"/>
      <c r="AN162" s="15"/>
    </row>
    <row r="163" spans="1:40" x14ac:dyDescent="0.25">
      <c r="A163" s="44"/>
      <c r="B163" s="9">
        <v>43991</v>
      </c>
      <c r="C163" s="14" t="s">
        <v>40</v>
      </c>
      <c r="D163" s="11" t="s">
        <v>41</v>
      </c>
      <c r="E163" s="12">
        <v>1081</v>
      </c>
      <c r="F163" s="15" t="s">
        <v>20</v>
      </c>
      <c r="AJ163" s="9"/>
      <c r="AK163" s="14"/>
      <c r="AL163" s="11"/>
      <c r="AM163" s="12"/>
      <c r="AN163" s="15"/>
    </row>
    <row r="164" spans="1:40" x14ac:dyDescent="0.25">
      <c r="A164" s="44"/>
      <c r="B164" s="9">
        <v>43992</v>
      </c>
      <c r="C164" s="14" t="s">
        <v>43</v>
      </c>
      <c r="D164" s="11" t="s">
        <v>44</v>
      </c>
      <c r="E164" s="12">
        <v>408</v>
      </c>
      <c r="F164" s="15" t="s">
        <v>20</v>
      </c>
      <c r="AJ164" s="9"/>
      <c r="AK164" s="14"/>
      <c r="AL164" s="11"/>
      <c r="AM164" s="12"/>
      <c r="AN164" s="15"/>
    </row>
    <row r="165" spans="1:40" x14ac:dyDescent="0.25">
      <c r="A165" s="44"/>
      <c r="B165" s="9">
        <v>43993</v>
      </c>
      <c r="C165" s="14" t="s">
        <v>46</v>
      </c>
      <c r="D165" s="11" t="s">
        <v>47</v>
      </c>
      <c r="E165" s="12">
        <v>1375</v>
      </c>
      <c r="F165" s="15" t="s">
        <v>20</v>
      </c>
      <c r="AJ165" s="9"/>
      <c r="AK165" s="14"/>
      <c r="AL165" s="11"/>
      <c r="AM165" s="12"/>
      <c r="AN165" s="15"/>
    </row>
    <row r="166" spans="1:40" x14ac:dyDescent="0.25">
      <c r="A166" s="44"/>
      <c r="B166" s="9">
        <v>43994</v>
      </c>
      <c r="C166" s="14" t="s">
        <v>49</v>
      </c>
      <c r="D166" s="11" t="s">
        <v>50</v>
      </c>
      <c r="E166" s="12">
        <v>611</v>
      </c>
      <c r="F166" s="15" t="s">
        <v>20</v>
      </c>
      <c r="AJ166" s="9"/>
      <c r="AK166" s="14"/>
      <c r="AL166" s="11"/>
      <c r="AM166" s="12"/>
      <c r="AN166" s="15"/>
    </row>
    <row r="167" spans="1:40" x14ac:dyDescent="0.25">
      <c r="A167" s="44"/>
      <c r="B167" s="9">
        <v>43995</v>
      </c>
      <c r="C167" s="14" t="s">
        <v>52</v>
      </c>
      <c r="D167" s="11" t="s">
        <v>53</v>
      </c>
      <c r="E167" s="12">
        <v>1565</v>
      </c>
      <c r="F167" s="15" t="s">
        <v>20</v>
      </c>
      <c r="AJ167" s="9"/>
      <c r="AK167" s="14"/>
      <c r="AL167" s="11"/>
      <c r="AM167" s="12"/>
      <c r="AN167" s="15"/>
    </row>
    <row r="168" spans="1:40" x14ac:dyDescent="0.25">
      <c r="A168" s="44"/>
      <c r="B168" s="9">
        <v>43996</v>
      </c>
      <c r="C168" s="10" t="s">
        <v>12</v>
      </c>
      <c r="D168" s="11" t="s">
        <v>45</v>
      </c>
      <c r="E168" s="12">
        <v>3359</v>
      </c>
      <c r="F168" s="13" t="s">
        <v>11</v>
      </c>
      <c r="AJ168" s="9"/>
      <c r="AK168" s="10"/>
      <c r="AL168" s="11"/>
      <c r="AM168" s="12"/>
      <c r="AN168" s="13"/>
    </row>
    <row r="169" spans="1:40" x14ac:dyDescent="0.25">
      <c r="A169" s="44"/>
      <c r="B169" s="9">
        <v>43997</v>
      </c>
      <c r="C169" s="10" t="s">
        <v>15</v>
      </c>
      <c r="D169" s="11" t="s">
        <v>85</v>
      </c>
      <c r="E169" s="12">
        <v>3120</v>
      </c>
      <c r="F169" s="13" t="s">
        <v>11</v>
      </c>
      <c r="AJ169" s="9"/>
      <c r="AK169" s="10"/>
      <c r="AL169" s="11"/>
      <c r="AM169" s="12"/>
      <c r="AN169" s="13"/>
    </row>
    <row r="170" spans="1:40" x14ac:dyDescent="0.25">
      <c r="A170" s="44"/>
      <c r="B170" s="9">
        <v>43998</v>
      </c>
      <c r="C170" s="10" t="s">
        <v>18</v>
      </c>
      <c r="D170" s="11" t="s">
        <v>19</v>
      </c>
      <c r="E170" s="12">
        <v>1749</v>
      </c>
      <c r="F170" s="13" t="s">
        <v>11</v>
      </c>
      <c r="AJ170" s="9"/>
      <c r="AK170" s="10"/>
      <c r="AL170" s="11"/>
      <c r="AM170" s="12"/>
      <c r="AN170" s="13"/>
    </row>
    <row r="171" spans="1:40" x14ac:dyDescent="0.25">
      <c r="A171" s="44"/>
      <c r="B171" s="9">
        <v>43999</v>
      </c>
      <c r="C171" s="10" t="s">
        <v>21</v>
      </c>
      <c r="D171" s="11" t="s">
        <v>22</v>
      </c>
      <c r="E171" s="12">
        <v>442</v>
      </c>
      <c r="F171" s="13" t="s">
        <v>11</v>
      </c>
      <c r="AJ171" s="9"/>
      <c r="AK171" s="10"/>
      <c r="AL171" s="11"/>
      <c r="AM171" s="12"/>
      <c r="AN171" s="13"/>
    </row>
    <row r="172" spans="1:40" x14ac:dyDescent="0.25">
      <c r="A172" s="44"/>
      <c r="B172" s="9">
        <v>44000</v>
      </c>
      <c r="C172" s="10" t="s">
        <v>24</v>
      </c>
      <c r="D172" s="11" t="s">
        <v>86</v>
      </c>
      <c r="E172" s="12">
        <v>1826</v>
      </c>
      <c r="F172" s="13" t="s">
        <v>14</v>
      </c>
      <c r="AJ172" s="9"/>
      <c r="AK172" s="10"/>
      <c r="AL172" s="11"/>
      <c r="AM172" s="12"/>
      <c r="AN172" s="13"/>
    </row>
    <row r="173" spans="1:40" x14ac:dyDescent="0.25">
      <c r="A173" s="44"/>
      <c r="B173" s="9">
        <v>44001</v>
      </c>
      <c r="C173" s="10" t="s">
        <v>26</v>
      </c>
      <c r="D173" s="11" t="s">
        <v>87</v>
      </c>
      <c r="E173" s="12">
        <v>382</v>
      </c>
      <c r="F173" s="13" t="s">
        <v>14</v>
      </c>
      <c r="AJ173" s="9"/>
      <c r="AK173" s="10"/>
      <c r="AL173" s="11"/>
      <c r="AM173" s="12"/>
      <c r="AN173" s="13"/>
    </row>
    <row r="174" spans="1:40" x14ac:dyDescent="0.25">
      <c r="A174" s="44"/>
      <c r="B174" s="9">
        <v>44002</v>
      </c>
      <c r="C174" s="10" t="s">
        <v>28</v>
      </c>
      <c r="D174" s="11" t="s">
        <v>29</v>
      </c>
      <c r="E174" s="12">
        <v>1743</v>
      </c>
      <c r="F174" s="13" t="s">
        <v>14</v>
      </c>
      <c r="AJ174" s="9"/>
      <c r="AK174" s="10"/>
      <c r="AL174" s="11"/>
      <c r="AM174" s="12"/>
      <c r="AN174" s="13"/>
    </row>
    <row r="175" spans="1:40" x14ac:dyDescent="0.25">
      <c r="A175" s="44"/>
      <c r="B175" s="9">
        <v>44003</v>
      </c>
      <c r="C175" s="10" t="s">
        <v>31</v>
      </c>
      <c r="D175" s="11" t="s">
        <v>88</v>
      </c>
      <c r="E175" s="12">
        <v>56</v>
      </c>
      <c r="F175" s="13" t="s">
        <v>20</v>
      </c>
      <c r="AJ175" s="9"/>
      <c r="AK175" s="10"/>
      <c r="AL175" s="11"/>
      <c r="AM175" s="12"/>
      <c r="AN175" s="13"/>
    </row>
    <row r="176" spans="1:40" x14ac:dyDescent="0.25">
      <c r="A176" s="44"/>
      <c r="B176" s="9">
        <v>44004</v>
      </c>
      <c r="C176" s="10" t="s">
        <v>34</v>
      </c>
      <c r="D176" s="11" t="s">
        <v>35</v>
      </c>
      <c r="E176" s="12">
        <v>1063</v>
      </c>
      <c r="F176" s="13" t="s">
        <v>20</v>
      </c>
      <c r="AJ176" s="9"/>
      <c r="AK176" s="10"/>
      <c r="AL176" s="11"/>
      <c r="AM176" s="12"/>
      <c r="AN176" s="13"/>
    </row>
    <row r="177" spans="1:40" x14ac:dyDescent="0.25">
      <c r="A177" s="44"/>
      <c r="B177" s="9">
        <v>44005</v>
      </c>
      <c r="C177" s="14" t="s">
        <v>37</v>
      </c>
      <c r="D177" s="11" t="s">
        <v>38</v>
      </c>
      <c r="E177" s="12">
        <v>1195</v>
      </c>
      <c r="F177" s="15" t="s">
        <v>20</v>
      </c>
      <c r="AJ177" s="9"/>
      <c r="AK177" s="14"/>
      <c r="AL177" s="11"/>
      <c r="AM177" s="12"/>
      <c r="AN177" s="15"/>
    </row>
    <row r="178" spans="1:40" x14ac:dyDescent="0.25">
      <c r="A178" s="44"/>
      <c r="B178" s="9">
        <v>44006</v>
      </c>
      <c r="C178" s="14" t="s">
        <v>40</v>
      </c>
      <c r="D178" s="11" t="s">
        <v>41</v>
      </c>
      <c r="E178" s="12">
        <v>844</v>
      </c>
      <c r="F178" s="15" t="s">
        <v>20</v>
      </c>
      <c r="AJ178" s="9"/>
      <c r="AK178" s="14"/>
      <c r="AL178" s="11"/>
      <c r="AM178" s="12"/>
      <c r="AN178" s="15"/>
    </row>
    <row r="179" spans="1:40" x14ac:dyDescent="0.25">
      <c r="A179" s="44"/>
      <c r="B179" s="9">
        <v>44007</v>
      </c>
      <c r="C179" s="14" t="s">
        <v>43</v>
      </c>
      <c r="D179" s="11" t="s">
        <v>44</v>
      </c>
      <c r="E179" s="12">
        <v>1808</v>
      </c>
      <c r="F179" s="15" t="s">
        <v>20</v>
      </c>
      <c r="AJ179" s="9"/>
      <c r="AK179" s="14"/>
      <c r="AL179" s="11"/>
      <c r="AM179" s="12"/>
      <c r="AN179" s="15"/>
    </row>
    <row r="180" spans="1:40" x14ac:dyDescent="0.25">
      <c r="A180" s="44"/>
      <c r="B180" s="9">
        <v>44008</v>
      </c>
      <c r="C180" s="14" t="s">
        <v>46</v>
      </c>
      <c r="D180" s="11" t="s">
        <v>47</v>
      </c>
      <c r="E180" s="12">
        <v>529</v>
      </c>
      <c r="F180" s="15" t="s">
        <v>20</v>
      </c>
      <c r="AJ180" s="9"/>
      <c r="AK180" s="14"/>
      <c r="AL180" s="11"/>
      <c r="AM180" s="12"/>
      <c r="AN180" s="15"/>
    </row>
    <row r="181" spans="1:40" x14ac:dyDescent="0.25">
      <c r="A181" s="44"/>
      <c r="B181" s="9">
        <v>44009</v>
      </c>
      <c r="C181" s="14" t="s">
        <v>49</v>
      </c>
      <c r="D181" s="11" t="s">
        <v>50</v>
      </c>
      <c r="E181" s="12">
        <v>1104</v>
      </c>
      <c r="F181" s="15" t="s">
        <v>20</v>
      </c>
      <c r="AJ181" s="9"/>
      <c r="AK181" s="14"/>
      <c r="AL181" s="11"/>
      <c r="AM181" s="12"/>
      <c r="AN181" s="15"/>
    </row>
    <row r="182" spans="1:40" x14ac:dyDescent="0.25">
      <c r="A182" s="44"/>
      <c r="B182" s="9">
        <v>44010</v>
      </c>
      <c r="C182" s="14" t="s">
        <v>52</v>
      </c>
      <c r="D182" s="11" t="s">
        <v>53</v>
      </c>
      <c r="E182" s="12">
        <v>119</v>
      </c>
      <c r="F182" s="15" t="s">
        <v>20</v>
      </c>
      <c r="AJ182" s="9"/>
      <c r="AK182" s="14"/>
      <c r="AL182" s="11"/>
      <c r="AM182" s="12"/>
      <c r="AN182" s="15"/>
    </row>
    <row r="183" spans="1:40" x14ac:dyDescent="0.25">
      <c r="A183" s="44"/>
      <c r="B183" s="9">
        <v>44011</v>
      </c>
      <c r="C183" s="10" t="s">
        <v>12</v>
      </c>
      <c r="D183" s="11" t="s">
        <v>48</v>
      </c>
      <c r="E183" s="12">
        <v>1216</v>
      </c>
      <c r="F183" s="13" t="s">
        <v>11</v>
      </c>
      <c r="AJ183" s="9"/>
      <c r="AK183" s="10"/>
      <c r="AL183" s="11"/>
      <c r="AM183" s="12"/>
      <c r="AN183" s="13"/>
    </row>
    <row r="184" spans="1:40" x14ac:dyDescent="0.25">
      <c r="A184" s="44"/>
      <c r="B184" s="9">
        <v>44012</v>
      </c>
      <c r="C184" s="10" t="s">
        <v>15</v>
      </c>
      <c r="D184" s="11" t="s">
        <v>89</v>
      </c>
      <c r="E184" s="12">
        <v>3950</v>
      </c>
      <c r="F184" s="13" t="s">
        <v>11</v>
      </c>
      <c r="AJ184" s="9"/>
      <c r="AK184" s="10"/>
      <c r="AL184" s="11"/>
      <c r="AM184" s="12"/>
      <c r="AN184" s="13"/>
    </row>
    <row r="185" spans="1:40" x14ac:dyDescent="0.25">
      <c r="A185" s="44"/>
      <c r="B185" s="9">
        <v>44013</v>
      </c>
      <c r="C185" s="10" t="s">
        <v>18</v>
      </c>
      <c r="D185" s="11" t="s">
        <v>19</v>
      </c>
      <c r="E185" s="12">
        <v>3869</v>
      </c>
      <c r="F185" s="13" t="s">
        <v>11</v>
      </c>
      <c r="AJ185" s="9"/>
      <c r="AK185" s="10"/>
      <c r="AL185" s="11"/>
      <c r="AM185" s="12"/>
      <c r="AN185" s="13"/>
    </row>
    <row r="186" spans="1:40" x14ac:dyDescent="0.25">
      <c r="A186" s="44"/>
      <c r="B186" s="9">
        <v>44014</v>
      </c>
      <c r="C186" s="10" t="s">
        <v>21</v>
      </c>
      <c r="D186" s="11" t="s">
        <v>22</v>
      </c>
      <c r="E186" s="12">
        <v>718</v>
      </c>
      <c r="F186" s="13" t="s">
        <v>11</v>
      </c>
      <c r="AJ186" s="9"/>
      <c r="AK186" s="10"/>
      <c r="AL186" s="11"/>
      <c r="AM186" s="12"/>
      <c r="AN186" s="13"/>
    </row>
    <row r="187" spans="1:40" x14ac:dyDescent="0.25">
      <c r="A187" s="44"/>
      <c r="B187" s="9">
        <v>44015</v>
      </c>
      <c r="C187" s="10" t="s">
        <v>24</v>
      </c>
      <c r="D187" s="11" t="s">
        <v>90</v>
      </c>
      <c r="E187" s="12">
        <v>172</v>
      </c>
      <c r="F187" s="13" t="s">
        <v>14</v>
      </c>
      <c r="AJ187" s="9"/>
      <c r="AK187" s="10"/>
      <c r="AL187" s="11"/>
      <c r="AM187" s="12"/>
      <c r="AN187" s="13"/>
    </row>
    <row r="188" spans="1:40" x14ac:dyDescent="0.25">
      <c r="A188" s="44"/>
      <c r="B188" s="9">
        <v>44016</v>
      </c>
      <c r="C188" s="10" t="s">
        <v>26</v>
      </c>
      <c r="D188" s="11" t="s">
        <v>91</v>
      </c>
      <c r="E188" s="12">
        <v>933</v>
      </c>
      <c r="F188" s="13" t="s">
        <v>14</v>
      </c>
      <c r="AJ188" s="9"/>
      <c r="AK188" s="10"/>
      <c r="AL188" s="11"/>
      <c r="AM188" s="12"/>
      <c r="AN188" s="13"/>
    </row>
    <row r="189" spans="1:40" x14ac:dyDescent="0.25">
      <c r="A189" s="44"/>
      <c r="B189" s="9">
        <v>44017</v>
      </c>
      <c r="C189" s="10" t="s">
        <v>28</v>
      </c>
      <c r="D189" s="11" t="s">
        <v>29</v>
      </c>
      <c r="E189" s="12">
        <v>882</v>
      </c>
      <c r="F189" s="13" t="s">
        <v>14</v>
      </c>
      <c r="AJ189" s="9"/>
      <c r="AK189" s="10"/>
      <c r="AL189" s="11"/>
      <c r="AM189" s="12"/>
      <c r="AN189" s="13"/>
    </row>
    <row r="190" spans="1:40" x14ac:dyDescent="0.25">
      <c r="A190" s="44"/>
      <c r="B190" s="9">
        <v>44018</v>
      </c>
      <c r="C190" s="10" t="s">
        <v>31</v>
      </c>
      <c r="D190" s="11" t="s">
        <v>92</v>
      </c>
      <c r="E190" s="12">
        <v>1331</v>
      </c>
      <c r="F190" s="13" t="s">
        <v>20</v>
      </c>
      <c r="AJ190" s="9"/>
      <c r="AK190" s="10"/>
      <c r="AL190" s="11"/>
      <c r="AM190" s="12"/>
      <c r="AN190" s="13"/>
    </row>
    <row r="191" spans="1:40" x14ac:dyDescent="0.25">
      <c r="A191" s="44"/>
      <c r="B191" s="9">
        <v>44019</v>
      </c>
      <c r="C191" s="10" t="s">
        <v>34</v>
      </c>
      <c r="D191" s="11" t="s">
        <v>35</v>
      </c>
      <c r="E191" s="12">
        <v>755</v>
      </c>
      <c r="F191" s="13" t="s">
        <v>20</v>
      </c>
      <c r="AJ191" s="9"/>
      <c r="AK191" s="10"/>
      <c r="AL191" s="11"/>
      <c r="AM191" s="12"/>
      <c r="AN191" s="13"/>
    </row>
    <row r="192" spans="1:40" x14ac:dyDescent="0.25">
      <c r="A192" s="44"/>
      <c r="B192" s="9">
        <v>44020</v>
      </c>
      <c r="C192" s="14" t="s">
        <v>37</v>
      </c>
      <c r="D192" s="11" t="s">
        <v>38</v>
      </c>
      <c r="E192" s="12">
        <v>1486</v>
      </c>
      <c r="F192" s="15" t="s">
        <v>20</v>
      </c>
      <c r="AJ192" s="9"/>
      <c r="AK192" s="14"/>
      <c r="AL192" s="11"/>
      <c r="AM192" s="12"/>
      <c r="AN192" s="15"/>
    </row>
    <row r="193" spans="1:40" x14ac:dyDescent="0.25">
      <c r="A193" s="44"/>
      <c r="B193" s="9">
        <v>44021</v>
      </c>
      <c r="C193" s="14" t="s">
        <v>40</v>
      </c>
      <c r="D193" s="11" t="s">
        <v>41</v>
      </c>
      <c r="E193" s="12">
        <v>201</v>
      </c>
      <c r="F193" s="15" t="s">
        <v>20</v>
      </c>
      <c r="AJ193" s="9"/>
      <c r="AK193" s="14"/>
      <c r="AL193" s="11"/>
      <c r="AM193" s="12"/>
      <c r="AN193" s="15"/>
    </row>
    <row r="194" spans="1:40" x14ac:dyDescent="0.25">
      <c r="A194" s="44"/>
      <c r="B194" s="9">
        <v>44022</v>
      </c>
      <c r="C194" s="14" t="s">
        <v>43</v>
      </c>
      <c r="D194" s="11" t="s">
        <v>44</v>
      </c>
      <c r="E194" s="12">
        <v>424</v>
      </c>
      <c r="F194" s="15" t="s">
        <v>20</v>
      </c>
      <c r="AJ194" s="9"/>
      <c r="AK194" s="14"/>
      <c r="AL194" s="11"/>
      <c r="AM194" s="12"/>
      <c r="AN194" s="15"/>
    </row>
    <row r="195" spans="1:40" x14ac:dyDescent="0.25">
      <c r="A195" s="44"/>
      <c r="B195" s="9">
        <v>44023</v>
      </c>
      <c r="C195" s="14" t="s">
        <v>46</v>
      </c>
      <c r="D195" s="11" t="s">
        <v>47</v>
      </c>
      <c r="E195" s="12">
        <v>1320</v>
      </c>
      <c r="F195" s="15" t="s">
        <v>20</v>
      </c>
      <c r="AJ195" s="9"/>
      <c r="AK195" s="14"/>
      <c r="AL195" s="11"/>
      <c r="AM195" s="12"/>
      <c r="AN195" s="15"/>
    </row>
    <row r="196" spans="1:40" x14ac:dyDescent="0.25">
      <c r="A196" s="44"/>
      <c r="B196" s="9">
        <v>44024</v>
      </c>
      <c r="C196" s="14" t="s">
        <v>49</v>
      </c>
      <c r="D196" s="11" t="s">
        <v>50</v>
      </c>
      <c r="E196" s="12">
        <v>167</v>
      </c>
      <c r="F196" s="15" t="s">
        <v>20</v>
      </c>
      <c r="AJ196" s="9"/>
      <c r="AK196" s="14"/>
      <c r="AL196" s="11"/>
      <c r="AM196" s="12"/>
      <c r="AN196" s="15"/>
    </row>
    <row r="197" spans="1:40" x14ac:dyDescent="0.25">
      <c r="A197" s="44"/>
      <c r="B197" s="9">
        <v>44025</v>
      </c>
      <c r="C197" s="14" t="s">
        <v>52</v>
      </c>
      <c r="D197" s="11" t="s">
        <v>53</v>
      </c>
      <c r="E197" s="12">
        <v>1643</v>
      </c>
      <c r="F197" s="15" t="s">
        <v>20</v>
      </c>
      <c r="AJ197" s="9"/>
      <c r="AK197" s="14"/>
      <c r="AL197" s="11"/>
      <c r="AM197" s="12"/>
      <c r="AN197" s="15"/>
    </row>
    <row r="198" spans="1:40" x14ac:dyDescent="0.25">
      <c r="A198" s="44"/>
      <c r="B198" s="9">
        <v>44026</v>
      </c>
      <c r="C198" s="10" t="s">
        <v>12</v>
      </c>
      <c r="D198" s="11" t="s">
        <v>51</v>
      </c>
      <c r="E198" s="12">
        <v>1022</v>
      </c>
      <c r="F198" s="13" t="s">
        <v>11</v>
      </c>
      <c r="AJ198" s="9"/>
      <c r="AK198" s="10"/>
      <c r="AL198" s="11"/>
      <c r="AM198" s="12"/>
      <c r="AN198" s="13"/>
    </row>
    <row r="199" spans="1:40" x14ac:dyDescent="0.25">
      <c r="A199" s="44"/>
      <c r="B199" s="9">
        <v>44027</v>
      </c>
      <c r="C199" s="10" t="s">
        <v>15</v>
      </c>
      <c r="D199" s="11" t="s">
        <v>93</v>
      </c>
      <c r="E199" s="12">
        <v>973</v>
      </c>
      <c r="F199" s="13" t="s">
        <v>11</v>
      </c>
      <c r="AJ199" s="9"/>
      <c r="AK199" s="10"/>
      <c r="AL199" s="11"/>
      <c r="AM199" s="12"/>
      <c r="AN199" s="13"/>
    </row>
    <row r="200" spans="1:40" x14ac:dyDescent="0.25">
      <c r="A200" s="44"/>
      <c r="B200" s="9">
        <v>44028</v>
      </c>
      <c r="C200" s="10" t="s">
        <v>18</v>
      </c>
      <c r="D200" s="11" t="s">
        <v>19</v>
      </c>
      <c r="E200" s="12">
        <v>618</v>
      </c>
      <c r="F200" s="13" t="s">
        <v>11</v>
      </c>
      <c r="AJ200" s="9"/>
      <c r="AK200" s="10"/>
      <c r="AL200" s="11"/>
      <c r="AM200" s="12"/>
      <c r="AN200" s="13"/>
    </row>
    <row r="201" spans="1:40" x14ac:dyDescent="0.25">
      <c r="A201" s="44"/>
      <c r="B201" s="9">
        <v>44029</v>
      </c>
      <c r="C201" s="10" t="s">
        <v>21</v>
      </c>
      <c r="D201" s="11" t="s">
        <v>22</v>
      </c>
      <c r="E201" s="12">
        <v>1247</v>
      </c>
      <c r="F201" s="13" t="s">
        <v>11</v>
      </c>
      <c r="AJ201" s="9"/>
      <c r="AK201" s="10"/>
      <c r="AL201" s="11"/>
      <c r="AM201" s="12"/>
      <c r="AN201" s="13"/>
    </row>
    <row r="202" spans="1:40" x14ac:dyDescent="0.25">
      <c r="A202" s="44"/>
      <c r="B202" s="9">
        <v>44030</v>
      </c>
      <c r="C202" s="10" t="s">
        <v>24</v>
      </c>
      <c r="D202" s="11" t="s">
        <v>94</v>
      </c>
      <c r="E202" s="12">
        <v>1307</v>
      </c>
      <c r="F202" s="13" t="s">
        <v>14</v>
      </c>
      <c r="AJ202" s="9"/>
      <c r="AK202" s="10"/>
      <c r="AL202" s="11"/>
      <c r="AM202" s="12"/>
      <c r="AN202" s="13"/>
    </row>
    <row r="203" spans="1:40" x14ac:dyDescent="0.25">
      <c r="A203" s="44"/>
      <c r="B203" s="9">
        <v>44031</v>
      </c>
      <c r="C203" s="10" t="s">
        <v>26</v>
      </c>
      <c r="D203" s="11" t="s">
        <v>95</v>
      </c>
      <c r="E203" s="12">
        <v>1970</v>
      </c>
      <c r="F203" s="13" t="s">
        <v>14</v>
      </c>
      <c r="AJ203" s="9"/>
      <c r="AK203" s="10"/>
      <c r="AL203" s="11"/>
      <c r="AM203" s="12"/>
      <c r="AN203" s="13"/>
    </row>
    <row r="204" spans="1:40" x14ac:dyDescent="0.25">
      <c r="A204" s="44"/>
      <c r="B204" s="9">
        <v>44032</v>
      </c>
      <c r="C204" s="10" t="s">
        <v>28</v>
      </c>
      <c r="D204" s="11" t="s">
        <v>29</v>
      </c>
      <c r="E204" s="12">
        <v>1557</v>
      </c>
      <c r="F204" s="13" t="s">
        <v>14</v>
      </c>
      <c r="AJ204" s="9"/>
      <c r="AK204" s="10"/>
      <c r="AL204" s="11"/>
      <c r="AM204" s="12"/>
      <c r="AN204" s="13"/>
    </row>
    <row r="205" spans="1:40" x14ac:dyDescent="0.25">
      <c r="A205" s="44"/>
      <c r="B205" s="9">
        <v>44033</v>
      </c>
      <c r="C205" s="10" t="s">
        <v>31</v>
      </c>
      <c r="D205" s="11" t="s">
        <v>96</v>
      </c>
      <c r="E205" s="12">
        <v>1746</v>
      </c>
      <c r="F205" s="13" t="s">
        <v>20</v>
      </c>
      <c r="AJ205" s="9"/>
      <c r="AK205" s="10"/>
      <c r="AL205" s="11"/>
      <c r="AM205" s="12"/>
      <c r="AN205" s="13"/>
    </row>
    <row r="206" spans="1:40" x14ac:dyDescent="0.25">
      <c r="A206" s="44"/>
      <c r="B206" s="9">
        <v>44034</v>
      </c>
      <c r="C206" s="10" t="s">
        <v>34</v>
      </c>
      <c r="D206" s="11" t="s">
        <v>35</v>
      </c>
      <c r="E206" s="12">
        <v>227</v>
      </c>
      <c r="F206" s="13" t="s">
        <v>20</v>
      </c>
      <c r="AJ206" s="9"/>
      <c r="AK206" s="10"/>
      <c r="AL206" s="11"/>
      <c r="AM206" s="12"/>
      <c r="AN206" s="13"/>
    </row>
    <row r="207" spans="1:40" x14ac:dyDescent="0.25">
      <c r="A207" s="44"/>
      <c r="B207" s="9">
        <v>44035</v>
      </c>
      <c r="C207" s="14" t="s">
        <v>37</v>
      </c>
      <c r="D207" s="11" t="s">
        <v>38</v>
      </c>
      <c r="E207" s="12">
        <v>220</v>
      </c>
      <c r="F207" s="15" t="s">
        <v>20</v>
      </c>
      <c r="AJ207" s="9"/>
      <c r="AK207" s="14"/>
      <c r="AL207" s="11"/>
      <c r="AM207" s="12"/>
      <c r="AN207" s="15"/>
    </row>
    <row r="208" spans="1:40" x14ac:dyDescent="0.25">
      <c r="A208" s="44"/>
      <c r="B208" s="9">
        <v>44036</v>
      </c>
      <c r="C208" s="14" t="s">
        <v>40</v>
      </c>
      <c r="D208" s="11" t="s">
        <v>41</v>
      </c>
      <c r="E208" s="12">
        <v>1515</v>
      </c>
      <c r="F208" s="15" t="s">
        <v>20</v>
      </c>
      <c r="AJ208" s="9"/>
      <c r="AK208" s="14"/>
      <c r="AL208" s="11"/>
      <c r="AM208" s="12"/>
      <c r="AN208" s="15"/>
    </row>
    <row r="209" spans="1:40" x14ac:dyDescent="0.25">
      <c r="A209" s="44"/>
      <c r="B209" s="9">
        <v>44037</v>
      </c>
      <c r="C209" s="14" t="s">
        <v>43</v>
      </c>
      <c r="D209" s="11" t="s">
        <v>44</v>
      </c>
      <c r="E209" s="12">
        <v>1958</v>
      </c>
      <c r="F209" s="15" t="s">
        <v>20</v>
      </c>
      <c r="AJ209" s="9"/>
      <c r="AK209" s="14"/>
      <c r="AL209" s="11"/>
      <c r="AM209" s="12"/>
      <c r="AN209" s="15"/>
    </row>
    <row r="210" spans="1:40" x14ac:dyDescent="0.25">
      <c r="A210" s="44"/>
      <c r="B210" s="9">
        <v>44038</v>
      </c>
      <c r="C210" s="14" t="s">
        <v>46</v>
      </c>
      <c r="D210" s="11" t="s">
        <v>47</v>
      </c>
      <c r="E210" s="12">
        <v>72</v>
      </c>
      <c r="F210" s="15" t="s">
        <v>20</v>
      </c>
      <c r="AJ210" s="9"/>
      <c r="AK210" s="14"/>
      <c r="AL210" s="11"/>
      <c r="AM210" s="12"/>
      <c r="AN210" s="15"/>
    </row>
    <row r="211" spans="1:40" x14ac:dyDescent="0.25">
      <c r="A211" s="44"/>
      <c r="B211" s="9">
        <v>44039</v>
      </c>
      <c r="C211" s="14" t="s">
        <v>49</v>
      </c>
      <c r="D211" s="11" t="s">
        <v>50</v>
      </c>
      <c r="E211" s="12">
        <v>283</v>
      </c>
      <c r="F211" s="15" t="s">
        <v>20</v>
      </c>
      <c r="AJ211" s="9"/>
      <c r="AK211" s="14"/>
      <c r="AL211" s="11"/>
      <c r="AM211" s="12"/>
      <c r="AN211" s="15"/>
    </row>
    <row r="212" spans="1:40" x14ac:dyDescent="0.25">
      <c r="A212" s="44"/>
      <c r="B212" s="9">
        <v>44040</v>
      </c>
      <c r="C212" s="14" t="s">
        <v>52</v>
      </c>
      <c r="D212" s="11" t="s">
        <v>53</v>
      </c>
      <c r="E212" s="12">
        <v>1003</v>
      </c>
      <c r="F212" s="15" t="s">
        <v>20</v>
      </c>
      <c r="AJ212" s="9"/>
      <c r="AK212" s="14"/>
      <c r="AL212" s="11"/>
      <c r="AM212" s="12"/>
      <c r="AN212" s="15"/>
    </row>
    <row r="213" spans="1:40" x14ac:dyDescent="0.25">
      <c r="A213" s="44"/>
      <c r="B213" s="9">
        <v>44041</v>
      </c>
      <c r="C213" s="10" t="s">
        <v>12</v>
      </c>
      <c r="D213" s="11" t="s">
        <v>54</v>
      </c>
      <c r="E213" s="12">
        <v>3738</v>
      </c>
      <c r="F213" s="13" t="s">
        <v>11</v>
      </c>
      <c r="AJ213" s="9"/>
      <c r="AK213" s="10"/>
      <c r="AL213" s="11"/>
      <c r="AM213" s="12"/>
      <c r="AN213" s="13"/>
    </row>
    <row r="214" spans="1:40" x14ac:dyDescent="0.25">
      <c r="A214" s="44"/>
      <c r="B214" s="9">
        <v>44042</v>
      </c>
      <c r="C214" s="10" t="s">
        <v>15</v>
      </c>
      <c r="D214" s="11" t="s">
        <v>97</v>
      </c>
      <c r="E214" s="12">
        <v>3887</v>
      </c>
      <c r="F214" s="13" t="s">
        <v>11</v>
      </c>
      <c r="AJ214" s="9"/>
      <c r="AK214" s="10"/>
      <c r="AL214" s="11"/>
      <c r="AM214" s="12"/>
      <c r="AN214" s="13"/>
    </row>
    <row r="215" spans="1:40" x14ac:dyDescent="0.25">
      <c r="A215" s="44"/>
      <c r="B215" s="9">
        <v>44043</v>
      </c>
      <c r="C215" s="10" t="s">
        <v>18</v>
      </c>
      <c r="D215" s="11" t="s">
        <v>19</v>
      </c>
      <c r="E215" s="12">
        <v>4406</v>
      </c>
      <c r="F215" s="13" t="s">
        <v>11</v>
      </c>
      <c r="AJ215" s="9"/>
      <c r="AK215" s="10"/>
      <c r="AL215" s="11"/>
      <c r="AM215" s="12"/>
      <c r="AN215" s="13"/>
    </row>
    <row r="216" spans="1:40" x14ac:dyDescent="0.25">
      <c r="A216" s="44"/>
      <c r="B216" s="9">
        <v>44044</v>
      </c>
      <c r="C216" s="10" t="s">
        <v>21</v>
      </c>
      <c r="D216" s="11" t="s">
        <v>22</v>
      </c>
      <c r="E216" s="12">
        <v>1008</v>
      </c>
      <c r="F216" s="13" t="s">
        <v>11</v>
      </c>
      <c r="AJ216" s="9"/>
      <c r="AK216" s="10"/>
      <c r="AL216" s="11"/>
      <c r="AM216" s="12"/>
      <c r="AN216" s="13"/>
    </row>
    <row r="217" spans="1:40" x14ac:dyDescent="0.25">
      <c r="A217" s="44"/>
      <c r="B217" s="9">
        <v>44045</v>
      </c>
      <c r="C217" s="10" t="s">
        <v>24</v>
      </c>
      <c r="D217" s="11" t="s">
        <v>98</v>
      </c>
      <c r="E217" s="12">
        <v>236</v>
      </c>
      <c r="F217" s="13" t="s">
        <v>14</v>
      </c>
      <c r="AJ217" s="9"/>
      <c r="AK217" s="10"/>
      <c r="AL217" s="11"/>
      <c r="AM217" s="12"/>
      <c r="AN217" s="13"/>
    </row>
    <row r="218" spans="1:40" x14ac:dyDescent="0.25">
      <c r="A218" s="44"/>
      <c r="B218" s="9">
        <v>44046</v>
      </c>
      <c r="C218" s="10" t="s">
        <v>26</v>
      </c>
      <c r="D218" s="11" t="s">
        <v>99</v>
      </c>
      <c r="E218" s="12">
        <v>968</v>
      </c>
      <c r="F218" s="13" t="s">
        <v>14</v>
      </c>
      <c r="AJ218" s="9"/>
      <c r="AK218" s="10"/>
      <c r="AL218" s="11"/>
      <c r="AM218" s="12"/>
      <c r="AN218" s="13"/>
    </row>
    <row r="219" spans="1:40" x14ac:dyDescent="0.25">
      <c r="A219" s="44"/>
      <c r="B219" s="9">
        <v>44047</v>
      </c>
      <c r="C219" s="10" t="s">
        <v>28</v>
      </c>
      <c r="D219" s="11" t="s">
        <v>29</v>
      </c>
      <c r="E219" s="12">
        <v>957</v>
      </c>
      <c r="F219" s="13" t="s">
        <v>14</v>
      </c>
      <c r="AJ219" s="9"/>
      <c r="AK219" s="10"/>
      <c r="AL219" s="11"/>
      <c r="AM219" s="12"/>
      <c r="AN219" s="13"/>
    </row>
    <row r="220" spans="1:40" x14ac:dyDescent="0.25">
      <c r="A220" s="44"/>
      <c r="B220" s="9">
        <v>44048</v>
      </c>
      <c r="C220" s="10" t="s">
        <v>31</v>
      </c>
      <c r="D220" s="11" t="s">
        <v>100</v>
      </c>
      <c r="E220" s="12">
        <v>1892</v>
      </c>
      <c r="F220" s="13" t="s">
        <v>20</v>
      </c>
      <c r="AJ220" s="9"/>
      <c r="AK220" s="10"/>
      <c r="AL220" s="11"/>
      <c r="AM220" s="12"/>
      <c r="AN220" s="13"/>
    </row>
    <row r="221" spans="1:40" x14ac:dyDescent="0.25">
      <c r="A221" s="44"/>
      <c r="B221" s="9">
        <v>44049</v>
      </c>
      <c r="C221" s="10" t="s">
        <v>34</v>
      </c>
      <c r="D221" s="11" t="s">
        <v>35</v>
      </c>
      <c r="E221" s="12">
        <v>489</v>
      </c>
      <c r="F221" s="13" t="s">
        <v>20</v>
      </c>
      <c r="AJ221" s="9"/>
      <c r="AK221" s="10"/>
      <c r="AL221" s="11"/>
      <c r="AM221" s="12"/>
      <c r="AN221" s="13"/>
    </row>
    <row r="222" spans="1:40" x14ac:dyDescent="0.25">
      <c r="A222" s="44"/>
      <c r="B222" s="9">
        <v>44050</v>
      </c>
      <c r="C222" s="14" t="s">
        <v>37</v>
      </c>
      <c r="D222" s="11" t="s">
        <v>38</v>
      </c>
      <c r="E222" s="12">
        <v>1345</v>
      </c>
      <c r="F222" s="15" t="s">
        <v>20</v>
      </c>
      <c r="AJ222" s="9"/>
      <c r="AK222" s="14"/>
      <c r="AL222" s="11"/>
      <c r="AM222" s="12"/>
      <c r="AN222" s="15"/>
    </row>
    <row r="223" spans="1:40" x14ac:dyDescent="0.25">
      <c r="A223" s="44"/>
      <c r="B223" s="9">
        <v>44051</v>
      </c>
      <c r="C223" s="14" t="s">
        <v>40</v>
      </c>
      <c r="D223" s="11" t="s">
        <v>41</v>
      </c>
      <c r="E223" s="12">
        <v>1318</v>
      </c>
      <c r="F223" s="15" t="s">
        <v>20</v>
      </c>
      <c r="AJ223" s="9"/>
      <c r="AK223" s="14"/>
      <c r="AL223" s="11"/>
      <c r="AM223" s="12"/>
      <c r="AN223" s="15"/>
    </row>
    <row r="224" spans="1:40" x14ac:dyDescent="0.25">
      <c r="A224" s="44"/>
      <c r="B224" s="9">
        <v>44052</v>
      </c>
      <c r="C224" s="14" t="s">
        <v>43</v>
      </c>
      <c r="D224" s="11" t="s">
        <v>44</v>
      </c>
      <c r="E224" s="12">
        <v>237</v>
      </c>
      <c r="F224" s="15" t="s">
        <v>20</v>
      </c>
      <c r="AJ224" s="9"/>
      <c r="AK224" s="14"/>
      <c r="AL224" s="11"/>
      <c r="AM224" s="12"/>
      <c r="AN224" s="15"/>
    </row>
    <row r="225" spans="1:40" x14ac:dyDescent="0.25">
      <c r="A225" s="44"/>
      <c r="B225" s="9">
        <v>44053</v>
      </c>
      <c r="C225" s="14" t="s">
        <v>46</v>
      </c>
      <c r="D225" s="11" t="s">
        <v>47</v>
      </c>
      <c r="E225" s="12">
        <v>224</v>
      </c>
      <c r="F225" s="15" t="s">
        <v>20</v>
      </c>
      <c r="AJ225" s="9"/>
      <c r="AK225" s="14"/>
      <c r="AL225" s="11"/>
      <c r="AM225" s="12"/>
      <c r="AN225" s="15"/>
    </row>
    <row r="226" spans="1:40" x14ac:dyDescent="0.25">
      <c r="A226" s="44"/>
      <c r="B226" s="9">
        <v>44054</v>
      </c>
      <c r="C226" s="14" t="s">
        <v>49</v>
      </c>
      <c r="D226" s="11" t="s">
        <v>50</v>
      </c>
      <c r="E226" s="12">
        <v>1403</v>
      </c>
      <c r="F226" s="15" t="s">
        <v>20</v>
      </c>
      <c r="AJ226" s="9"/>
      <c r="AK226" s="14"/>
      <c r="AL226" s="11"/>
      <c r="AM226" s="12"/>
      <c r="AN226" s="15"/>
    </row>
    <row r="227" spans="1:40" x14ac:dyDescent="0.25">
      <c r="A227" s="44"/>
      <c r="B227" s="9">
        <v>44055</v>
      </c>
      <c r="C227" s="14" t="s">
        <v>52</v>
      </c>
      <c r="D227" s="11" t="s">
        <v>53</v>
      </c>
      <c r="E227" s="12">
        <v>657</v>
      </c>
      <c r="F227" s="15" t="s">
        <v>20</v>
      </c>
      <c r="AJ227" s="9"/>
      <c r="AK227" s="14"/>
      <c r="AL227" s="11"/>
      <c r="AM227" s="12"/>
      <c r="AN227" s="15"/>
    </row>
    <row r="228" spans="1:40" x14ac:dyDescent="0.25">
      <c r="A228" s="44"/>
      <c r="B228" s="9">
        <v>44056</v>
      </c>
      <c r="C228" s="10" t="s">
        <v>12</v>
      </c>
      <c r="D228" s="11" t="s">
        <v>55</v>
      </c>
      <c r="E228" s="12">
        <v>4878</v>
      </c>
      <c r="F228" s="13" t="s">
        <v>11</v>
      </c>
      <c r="AJ228" s="9"/>
      <c r="AK228" s="10"/>
      <c r="AL228" s="11"/>
      <c r="AM228" s="12"/>
      <c r="AN228" s="13"/>
    </row>
    <row r="229" spans="1:40" x14ac:dyDescent="0.25">
      <c r="A229" s="44"/>
      <c r="B229" s="9">
        <v>44057</v>
      </c>
      <c r="C229" s="10" t="s">
        <v>15</v>
      </c>
      <c r="D229" s="11" t="s">
        <v>101</v>
      </c>
      <c r="E229" s="12">
        <v>3999</v>
      </c>
      <c r="F229" s="13" t="s">
        <v>11</v>
      </c>
      <c r="AJ229" s="9"/>
      <c r="AK229" s="10"/>
      <c r="AL229" s="11"/>
      <c r="AM229" s="12"/>
      <c r="AN229" s="13"/>
    </row>
    <row r="230" spans="1:40" x14ac:dyDescent="0.25">
      <c r="A230" s="44"/>
      <c r="B230" s="9">
        <v>44058</v>
      </c>
      <c r="C230" s="10" t="s">
        <v>18</v>
      </c>
      <c r="D230" s="11" t="s">
        <v>19</v>
      </c>
      <c r="E230" s="12">
        <v>4642</v>
      </c>
      <c r="F230" s="13" t="s">
        <v>11</v>
      </c>
      <c r="AJ230" s="9"/>
      <c r="AK230" s="10"/>
      <c r="AL230" s="11"/>
      <c r="AM230" s="12"/>
      <c r="AN230" s="13"/>
    </row>
    <row r="231" spans="1:40" x14ac:dyDescent="0.25">
      <c r="A231" s="44"/>
      <c r="B231" s="9">
        <v>44059</v>
      </c>
      <c r="C231" s="10" t="s">
        <v>21</v>
      </c>
      <c r="D231" s="11" t="s">
        <v>22</v>
      </c>
      <c r="E231" s="12">
        <v>1014</v>
      </c>
      <c r="F231" s="13" t="s">
        <v>11</v>
      </c>
      <c r="AJ231" s="9"/>
      <c r="AK231" s="10"/>
      <c r="AL231" s="11"/>
      <c r="AM231" s="12"/>
      <c r="AN231" s="13"/>
    </row>
    <row r="232" spans="1:40" x14ac:dyDescent="0.25">
      <c r="A232" s="44"/>
      <c r="B232" s="9">
        <v>44060</v>
      </c>
      <c r="C232" s="10" t="s">
        <v>24</v>
      </c>
      <c r="D232" s="11" t="s">
        <v>102</v>
      </c>
      <c r="E232" s="12">
        <v>565</v>
      </c>
      <c r="F232" s="13" t="s">
        <v>14</v>
      </c>
      <c r="AJ232" s="9"/>
      <c r="AK232" s="10"/>
      <c r="AL232" s="11"/>
      <c r="AM232" s="12"/>
      <c r="AN232" s="13"/>
    </row>
    <row r="233" spans="1:40" x14ac:dyDescent="0.25">
      <c r="A233" s="44"/>
      <c r="B233" s="9">
        <v>44061</v>
      </c>
      <c r="C233" s="10" t="s">
        <v>26</v>
      </c>
      <c r="D233" s="11" t="s">
        <v>103</v>
      </c>
      <c r="E233" s="12">
        <v>975</v>
      </c>
      <c r="F233" s="13" t="s">
        <v>14</v>
      </c>
      <c r="AJ233" s="9"/>
      <c r="AK233" s="10"/>
      <c r="AL233" s="11"/>
      <c r="AM233" s="12"/>
      <c r="AN233" s="13"/>
    </row>
    <row r="234" spans="1:40" x14ac:dyDescent="0.25">
      <c r="A234" s="44"/>
      <c r="B234" s="9">
        <v>44062</v>
      </c>
      <c r="C234" s="10" t="s">
        <v>28</v>
      </c>
      <c r="D234" s="11" t="s">
        <v>29</v>
      </c>
      <c r="E234" s="12">
        <v>830</v>
      </c>
      <c r="F234" s="13" t="s">
        <v>14</v>
      </c>
      <c r="AJ234" s="9"/>
      <c r="AK234" s="10"/>
      <c r="AL234" s="11"/>
      <c r="AM234" s="12"/>
      <c r="AN234" s="13"/>
    </row>
    <row r="235" spans="1:40" x14ac:dyDescent="0.25">
      <c r="A235" s="44"/>
      <c r="B235" s="9">
        <v>44063</v>
      </c>
      <c r="C235" s="10" t="s">
        <v>31</v>
      </c>
      <c r="D235" s="11" t="s">
        <v>104</v>
      </c>
      <c r="E235" s="12">
        <v>115</v>
      </c>
      <c r="F235" s="13" t="s">
        <v>20</v>
      </c>
      <c r="AJ235" s="9"/>
      <c r="AK235" s="10"/>
      <c r="AL235" s="11"/>
      <c r="AM235" s="12"/>
      <c r="AN235" s="13"/>
    </row>
    <row r="236" spans="1:40" x14ac:dyDescent="0.25">
      <c r="A236" s="44"/>
      <c r="B236" s="9">
        <v>44064</v>
      </c>
      <c r="C236" s="10" t="s">
        <v>34</v>
      </c>
      <c r="D236" s="11" t="s">
        <v>35</v>
      </c>
      <c r="E236" s="12">
        <v>795</v>
      </c>
      <c r="F236" s="13" t="s">
        <v>20</v>
      </c>
      <c r="AJ236" s="9"/>
      <c r="AK236" s="10"/>
      <c r="AL236" s="11"/>
      <c r="AM236" s="12"/>
      <c r="AN236" s="13"/>
    </row>
    <row r="237" spans="1:40" x14ac:dyDescent="0.25">
      <c r="A237" s="44"/>
      <c r="B237" s="9">
        <v>44065</v>
      </c>
      <c r="C237" s="14" t="s">
        <v>37</v>
      </c>
      <c r="D237" s="11" t="s">
        <v>38</v>
      </c>
      <c r="E237" s="12">
        <v>537</v>
      </c>
      <c r="F237" s="15" t="s">
        <v>20</v>
      </c>
      <c r="AJ237" s="9"/>
      <c r="AK237" s="14"/>
      <c r="AL237" s="11"/>
      <c r="AM237" s="12"/>
      <c r="AN237" s="15"/>
    </row>
    <row r="238" spans="1:40" x14ac:dyDescent="0.25">
      <c r="A238" s="44"/>
      <c r="B238" s="9">
        <v>44066</v>
      </c>
      <c r="C238" s="14" t="s">
        <v>40</v>
      </c>
      <c r="D238" s="11" t="s">
        <v>41</v>
      </c>
      <c r="E238" s="12">
        <v>1355</v>
      </c>
      <c r="F238" s="15" t="s">
        <v>20</v>
      </c>
      <c r="AJ238" s="9"/>
      <c r="AK238" s="14"/>
      <c r="AL238" s="11"/>
      <c r="AM238" s="12"/>
      <c r="AN238" s="15"/>
    </row>
    <row r="239" spans="1:40" x14ac:dyDescent="0.25">
      <c r="A239" s="44"/>
      <c r="B239" s="9">
        <v>44067</v>
      </c>
      <c r="C239" s="14" t="s">
        <v>43</v>
      </c>
      <c r="D239" s="11" t="s">
        <v>44</v>
      </c>
      <c r="E239" s="12">
        <v>768</v>
      </c>
      <c r="F239" s="15" t="s">
        <v>20</v>
      </c>
      <c r="AJ239" s="9"/>
      <c r="AK239" s="14"/>
      <c r="AL239" s="11"/>
      <c r="AM239" s="12"/>
      <c r="AN239" s="15"/>
    </row>
    <row r="240" spans="1:40" x14ac:dyDescent="0.25">
      <c r="A240" s="44"/>
      <c r="B240" s="9">
        <v>44068</v>
      </c>
      <c r="C240" s="14" t="s">
        <v>46</v>
      </c>
      <c r="D240" s="11" t="s">
        <v>47</v>
      </c>
      <c r="E240" s="12">
        <v>1365</v>
      </c>
      <c r="F240" s="15" t="s">
        <v>20</v>
      </c>
      <c r="AJ240" s="9"/>
      <c r="AK240" s="14"/>
      <c r="AL240" s="11"/>
      <c r="AM240" s="12"/>
      <c r="AN240" s="15"/>
    </row>
    <row r="241" spans="1:40" x14ac:dyDescent="0.25">
      <c r="A241" s="44"/>
      <c r="B241" s="9">
        <v>44069</v>
      </c>
      <c r="C241" s="14" t="s">
        <v>49</v>
      </c>
      <c r="D241" s="11" t="s">
        <v>50</v>
      </c>
      <c r="E241" s="12">
        <v>206</v>
      </c>
      <c r="F241" s="15" t="s">
        <v>20</v>
      </c>
      <c r="AJ241" s="9"/>
      <c r="AK241" s="14"/>
      <c r="AL241" s="11"/>
      <c r="AM241" s="12"/>
      <c r="AN241" s="15"/>
    </row>
    <row r="242" spans="1:40" x14ac:dyDescent="0.25">
      <c r="A242" s="44"/>
      <c r="B242" s="9">
        <v>44070</v>
      </c>
      <c r="C242" s="14" t="s">
        <v>52</v>
      </c>
      <c r="D242" s="11" t="s">
        <v>53</v>
      </c>
      <c r="E242" s="12">
        <v>1052</v>
      </c>
      <c r="F242" s="15" t="s">
        <v>20</v>
      </c>
      <c r="AJ242" s="9"/>
      <c r="AK242" s="14"/>
      <c r="AL242" s="11"/>
      <c r="AM242" s="12"/>
      <c r="AN242" s="15"/>
    </row>
    <row r="243" spans="1:40" x14ac:dyDescent="0.25">
      <c r="A243" s="44"/>
      <c r="B243" s="9">
        <v>44071</v>
      </c>
      <c r="C243" s="10" t="s">
        <v>12</v>
      </c>
      <c r="D243" s="11" t="s">
        <v>56</v>
      </c>
      <c r="E243" s="12">
        <v>2187</v>
      </c>
      <c r="F243" s="13" t="s">
        <v>11</v>
      </c>
      <c r="AJ243" s="9"/>
      <c r="AK243" s="10"/>
      <c r="AL243" s="11"/>
      <c r="AM243" s="12"/>
      <c r="AN243" s="13"/>
    </row>
    <row r="244" spans="1:40" x14ac:dyDescent="0.25">
      <c r="A244" s="44"/>
      <c r="B244" s="9">
        <v>44072</v>
      </c>
      <c r="C244" s="10" t="s">
        <v>15</v>
      </c>
      <c r="D244" s="11" t="s">
        <v>105</v>
      </c>
      <c r="E244" s="12">
        <v>2176</v>
      </c>
      <c r="F244" s="13" t="s">
        <v>11</v>
      </c>
      <c r="AJ244" s="9"/>
      <c r="AK244" s="10"/>
      <c r="AL244" s="11"/>
      <c r="AM244" s="12"/>
      <c r="AN244" s="13"/>
    </row>
    <row r="245" spans="1:40" x14ac:dyDescent="0.25">
      <c r="A245" s="44"/>
      <c r="B245" s="9">
        <v>44073</v>
      </c>
      <c r="C245" s="10" t="s">
        <v>18</v>
      </c>
      <c r="D245" s="11" t="s">
        <v>19</v>
      </c>
      <c r="E245" s="12">
        <v>279</v>
      </c>
      <c r="F245" s="13" t="s">
        <v>11</v>
      </c>
      <c r="AJ245" s="9"/>
      <c r="AK245" s="10"/>
      <c r="AL245" s="11"/>
      <c r="AM245" s="12"/>
      <c r="AN245" s="13"/>
    </row>
    <row r="246" spans="1:40" x14ac:dyDescent="0.25">
      <c r="A246" s="44"/>
      <c r="B246" s="9">
        <v>44074</v>
      </c>
      <c r="C246" s="10" t="s">
        <v>21</v>
      </c>
      <c r="D246" s="11" t="s">
        <v>22</v>
      </c>
      <c r="E246" s="12">
        <v>355</v>
      </c>
      <c r="F246" s="13" t="s">
        <v>11</v>
      </c>
      <c r="AJ246" s="9"/>
      <c r="AK246" s="10"/>
      <c r="AL246" s="11"/>
      <c r="AM246" s="12"/>
      <c r="AN246" s="13"/>
    </row>
    <row r="247" spans="1:40" x14ac:dyDescent="0.25">
      <c r="A247" s="44"/>
      <c r="B247" s="9">
        <v>44075</v>
      </c>
      <c r="C247" s="10" t="s">
        <v>24</v>
      </c>
      <c r="D247" s="11" t="s">
        <v>106</v>
      </c>
      <c r="E247" s="12">
        <v>1641</v>
      </c>
      <c r="F247" s="13" t="s">
        <v>14</v>
      </c>
      <c r="AJ247" s="9"/>
      <c r="AK247" s="10"/>
      <c r="AL247" s="11"/>
      <c r="AM247" s="12"/>
      <c r="AN247" s="13"/>
    </row>
    <row r="248" spans="1:40" x14ac:dyDescent="0.25">
      <c r="A248" s="44"/>
      <c r="B248" s="9">
        <v>44076</v>
      </c>
      <c r="C248" s="10" t="s">
        <v>26</v>
      </c>
      <c r="D248" s="11" t="s">
        <v>107</v>
      </c>
      <c r="E248" s="12">
        <v>86</v>
      </c>
      <c r="F248" s="13" t="s">
        <v>14</v>
      </c>
      <c r="AJ248" s="9"/>
      <c r="AK248" s="10"/>
      <c r="AL248" s="11"/>
      <c r="AM248" s="12"/>
      <c r="AN248" s="13"/>
    </row>
    <row r="249" spans="1:40" x14ac:dyDescent="0.25">
      <c r="A249" s="44"/>
      <c r="B249" s="9">
        <v>44077</v>
      </c>
      <c r="C249" s="10" t="s">
        <v>28</v>
      </c>
      <c r="D249" s="11" t="s">
        <v>29</v>
      </c>
      <c r="E249" s="12">
        <v>1881</v>
      </c>
      <c r="F249" s="13" t="s">
        <v>14</v>
      </c>
      <c r="AJ249" s="9"/>
      <c r="AK249" s="10"/>
      <c r="AL249" s="11"/>
      <c r="AM249" s="12"/>
      <c r="AN249" s="13"/>
    </row>
    <row r="250" spans="1:40" x14ac:dyDescent="0.25">
      <c r="A250" s="44"/>
      <c r="B250" s="9">
        <v>44078</v>
      </c>
      <c r="C250" s="10" t="s">
        <v>31</v>
      </c>
      <c r="D250" s="11" t="s">
        <v>108</v>
      </c>
      <c r="E250" s="12">
        <v>1215</v>
      </c>
      <c r="F250" s="13" t="s">
        <v>20</v>
      </c>
      <c r="AJ250" s="9"/>
      <c r="AK250" s="10"/>
      <c r="AL250" s="11"/>
      <c r="AM250" s="12"/>
      <c r="AN250" s="13"/>
    </row>
    <row r="251" spans="1:40" x14ac:dyDescent="0.25">
      <c r="A251" s="44"/>
      <c r="B251" s="9">
        <v>44079</v>
      </c>
      <c r="C251" s="10" t="s">
        <v>34</v>
      </c>
      <c r="D251" s="11" t="s">
        <v>35</v>
      </c>
      <c r="E251" s="12">
        <v>310</v>
      </c>
      <c r="F251" s="13" t="s">
        <v>20</v>
      </c>
      <c r="AJ251" s="9"/>
      <c r="AK251" s="10"/>
      <c r="AL251" s="11"/>
      <c r="AM251" s="12"/>
      <c r="AN251" s="13"/>
    </row>
    <row r="252" spans="1:40" x14ac:dyDescent="0.25">
      <c r="A252" s="44"/>
      <c r="B252" s="9">
        <v>44080</v>
      </c>
      <c r="C252" s="14" t="s">
        <v>37</v>
      </c>
      <c r="D252" s="11" t="s">
        <v>38</v>
      </c>
      <c r="E252" s="12">
        <v>532</v>
      </c>
      <c r="F252" s="15" t="s">
        <v>20</v>
      </c>
      <c r="AJ252" s="9"/>
      <c r="AK252" s="14"/>
      <c r="AL252" s="11"/>
      <c r="AM252" s="12"/>
      <c r="AN252" s="15"/>
    </row>
    <row r="253" spans="1:40" x14ac:dyDescent="0.25">
      <c r="A253" s="44"/>
      <c r="B253" s="9">
        <v>44081</v>
      </c>
      <c r="C253" s="14" t="s">
        <v>40</v>
      </c>
      <c r="D253" s="11" t="s">
        <v>41</v>
      </c>
      <c r="E253" s="12">
        <v>1379</v>
      </c>
      <c r="F253" s="15" t="s">
        <v>20</v>
      </c>
      <c r="AJ253" s="9"/>
      <c r="AK253" s="14"/>
      <c r="AL253" s="11"/>
      <c r="AM253" s="12"/>
      <c r="AN253" s="15"/>
    </row>
    <row r="254" spans="1:40" x14ac:dyDescent="0.25">
      <c r="A254" s="44"/>
      <c r="B254" s="9">
        <v>44082</v>
      </c>
      <c r="C254" s="14" t="s">
        <v>43</v>
      </c>
      <c r="D254" s="11" t="s">
        <v>44</v>
      </c>
      <c r="E254" s="12">
        <v>105</v>
      </c>
      <c r="F254" s="15" t="s">
        <v>20</v>
      </c>
      <c r="AJ254" s="9"/>
      <c r="AK254" s="14"/>
      <c r="AL254" s="11"/>
      <c r="AM254" s="12"/>
      <c r="AN254" s="15"/>
    </row>
    <row r="255" spans="1:40" x14ac:dyDescent="0.25">
      <c r="A255" s="44"/>
      <c r="B255" s="9">
        <v>44083</v>
      </c>
      <c r="C255" s="14" t="s">
        <v>46</v>
      </c>
      <c r="D255" s="11" t="s">
        <v>47</v>
      </c>
      <c r="E255" s="12">
        <v>1046</v>
      </c>
      <c r="F255" s="15" t="s">
        <v>20</v>
      </c>
      <c r="AJ255" s="9"/>
      <c r="AK255" s="14"/>
      <c r="AL255" s="11"/>
      <c r="AM255" s="12"/>
      <c r="AN255" s="15"/>
    </row>
    <row r="256" spans="1:40" x14ac:dyDescent="0.25">
      <c r="A256" s="44"/>
      <c r="B256" s="9">
        <v>44084</v>
      </c>
      <c r="C256" s="14" t="s">
        <v>49</v>
      </c>
      <c r="D256" s="11" t="s">
        <v>50</v>
      </c>
      <c r="E256" s="12">
        <v>679</v>
      </c>
      <c r="F256" s="15" t="s">
        <v>20</v>
      </c>
      <c r="AJ256" s="9"/>
      <c r="AK256" s="14"/>
      <c r="AL256" s="11"/>
      <c r="AM256" s="12"/>
      <c r="AN256" s="15"/>
    </row>
    <row r="257" spans="1:40" x14ac:dyDescent="0.25">
      <c r="A257" s="44"/>
      <c r="B257" s="9">
        <v>44085</v>
      </c>
      <c r="C257" s="14" t="s">
        <v>52</v>
      </c>
      <c r="D257" s="11" t="s">
        <v>53</v>
      </c>
      <c r="E257" s="12">
        <v>751</v>
      </c>
      <c r="F257" s="15" t="s">
        <v>20</v>
      </c>
      <c r="AJ257" s="9"/>
      <c r="AK257" s="14"/>
      <c r="AL257" s="11"/>
      <c r="AM257" s="12"/>
      <c r="AN257" s="15"/>
    </row>
    <row r="258" spans="1:40" x14ac:dyDescent="0.25">
      <c r="A258" s="44"/>
      <c r="B258" s="9">
        <v>44086</v>
      </c>
      <c r="C258" s="10" t="s">
        <v>12</v>
      </c>
      <c r="D258" s="11" t="s">
        <v>57</v>
      </c>
      <c r="E258" s="12">
        <v>3459</v>
      </c>
      <c r="F258" s="13" t="s">
        <v>11</v>
      </c>
      <c r="AJ258" s="9"/>
      <c r="AK258" s="10"/>
      <c r="AL258" s="11"/>
      <c r="AM258" s="12"/>
      <c r="AN258" s="13"/>
    </row>
    <row r="259" spans="1:40" x14ac:dyDescent="0.25">
      <c r="A259" s="44"/>
      <c r="B259" s="9">
        <v>44087</v>
      </c>
      <c r="C259" s="10" t="s">
        <v>15</v>
      </c>
      <c r="D259" s="11" t="s">
        <v>109</v>
      </c>
      <c r="E259" s="12">
        <v>3381</v>
      </c>
      <c r="F259" s="13" t="s">
        <v>11</v>
      </c>
      <c r="AJ259" s="9"/>
      <c r="AK259" s="10"/>
      <c r="AL259" s="11"/>
      <c r="AM259" s="12"/>
      <c r="AN259" s="13"/>
    </row>
    <row r="260" spans="1:40" x14ac:dyDescent="0.25">
      <c r="A260" s="44"/>
      <c r="B260" s="9">
        <v>44088</v>
      </c>
      <c r="C260" s="10" t="s">
        <v>18</v>
      </c>
      <c r="D260" s="11" t="s">
        <v>19</v>
      </c>
      <c r="E260" s="12">
        <v>1748</v>
      </c>
      <c r="F260" s="13" t="s">
        <v>11</v>
      </c>
      <c r="AJ260" s="9"/>
      <c r="AK260" s="10"/>
      <c r="AL260" s="11"/>
      <c r="AM260" s="12"/>
      <c r="AN260" s="13"/>
    </row>
    <row r="261" spans="1:40" x14ac:dyDescent="0.25">
      <c r="A261" s="44"/>
      <c r="B261" s="9">
        <v>44089</v>
      </c>
      <c r="C261" s="10" t="s">
        <v>21</v>
      </c>
      <c r="D261" s="11" t="s">
        <v>22</v>
      </c>
      <c r="E261" s="12">
        <v>296</v>
      </c>
      <c r="F261" s="13" t="s">
        <v>11</v>
      </c>
      <c r="AJ261" s="9"/>
      <c r="AK261" s="10"/>
      <c r="AL261" s="11"/>
      <c r="AM261" s="12"/>
      <c r="AN261" s="13"/>
    </row>
    <row r="262" spans="1:40" x14ac:dyDescent="0.25">
      <c r="A262" s="44"/>
      <c r="B262" s="9">
        <v>44090</v>
      </c>
      <c r="C262" s="10" t="s">
        <v>24</v>
      </c>
      <c r="D262" s="11" t="s">
        <v>110</v>
      </c>
      <c r="E262" s="12">
        <v>517</v>
      </c>
      <c r="F262" s="13" t="s">
        <v>14</v>
      </c>
      <c r="AJ262" s="9"/>
      <c r="AK262" s="10"/>
      <c r="AL262" s="11"/>
      <c r="AM262" s="12"/>
      <c r="AN262" s="13"/>
    </row>
    <row r="263" spans="1:40" x14ac:dyDescent="0.25">
      <c r="A263" s="44"/>
      <c r="B263" s="9">
        <v>44091</v>
      </c>
      <c r="C263" s="10" t="s">
        <v>26</v>
      </c>
      <c r="D263" s="11" t="s">
        <v>111</v>
      </c>
      <c r="E263" s="12">
        <v>671</v>
      </c>
      <c r="F263" s="13" t="s">
        <v>14</v>
      </c>
      <c r="AJ263" s="9"/>
      <c r="AK263" s="10"/>
      <c r="AL263" s="11"/>
      <c r="AM263" s="12"/>
      <c r="AN263" s="13"/>
    </row>
    <row r="264" spans="1:40" x14ac:dyDescent="0.25">
      <c r="A264" s="44"/>
      <c r="B264" s="9">
        <v>44092</v>
      </c>
      <c r="C264" s="10" t="s">
        <v>28</v>
      </c>
      <c r="D264" s="11" t="s">
        <v>29</v>
      </c>
      <c r="E264" s="12">
        <v>344</v>
      </c>
      <c r="F264" s="13" t="s">
        <v>14</v>
      </c>
      <c r="AJ264" s="9"/>
      <c r="AK264" s="10"/>
      <c r="AL264" s="11"/>
      <c r="AM264" s="12"/>
      <c r="AN264" s="13"/>
    </row>
    <row r="265" spans="1:40" x14ac:dyDescent="0.25">
      <c r="A265" s="44"/>
      <c r="B265" s="9">
        <v>44093</v>
      </c>
      <c r="C265" s="10" t="s">
        <v>31</v>
      </c>
      <c r="D265" s="11" t="s">
        <v>112</v>
      </c>
      <c r="E265" s="12">
        <v>969</v>
      </c>
      <c r="F265" s="13" t="s">
        <v>20</v>
      </c>
      <c r="AJ265" s="9"/>
      <c r="AK265" s="10"/>
      <c r="AL265" s="11"/>
      <c r="AM265" s="12"/>
      <c r="AN265" s="13"/>
    </row>
    <row r="266" spans="1:40" x14ac:dyDescent="0.25">
      <c r="A266" s="44"/>
      <c r="B266" s="9">
        <v>44094</v>
      </c>
      <c r="C266" s="10" t="s">
        <v>34</v>
      </c>
      <c r="D266" s="11" t="s">
        <v>35</v>
      </c>
      <c r="E266" s="12">
        <v>482</v>
      </c>
      <c r="F266" s="13" t="s">
        <v>20</v>
      </c>
      <c r="AJ266" s="9"/>
      <c r="AK266" s="10"/>
      <c r="AL266" s="11"/>
      <c r="AM266" s="12"/>
      <c r="AN266" s="13"/>
    </row>
    <row r="267" spans="1:40" x14ac:dyDescent="0.25">
      <c r="A267" s="44"/>
      <c r="B267" s="9">
        <v>44095</v>
      </c>
      <c r="C267" s="14" t="s">
        <v>37</v>
      </c>
      <c r="D267" s="11" t="s">
        <v>38</v>
      </c>
      <c r="E267" s="12">
        <v>779</v>
      </c>
      <c r="F267" s="15" t="s">
        <v>20</v>
      </c>
      <c r="AJ267" s="9"/>
      <c r="AK267" s="14"/>
      <c r="AL267" s="11"/>
      <c r="AM267" s="12"/>
      <c r="AN267" s="15"/>
    </row>
    <row r="268" spans="1:40" x14ac:dyDescent="0.25">
      <c r="A268" s="44"/>
      <c r="B268" s="9">
        <v>44096</v>
      </c>
      <c r="C268" s="14" t="s">
        <v>40</v>
      </c>
      <c r="D268" s="11" t="s">
        <v>41</v>
      </c>
      <c r="E268" s="12">
        <v>1538</v>
      </c>
      <c r="F268" s="15" t="s">
        <v>20</v>
      </c>
      <c r="AJ268" s="9"/>
      <c r="AK268" s="14"/>
      <c r="AL268" s="11"/>
      <c r="AM268" s="12"/>
      <c r="AN268" s="15"/>
    </row>
    <row r="269" spans="1:40" x14ac:dyDescent="0.25">
      <c r="A269" s="44"/>
      <c r="B269" s="9">
        <v>44097</v>
      </c>
      <c r="C269" s="14" t="s">
        <v>43</v>
      </c>
      <c r="D269" s="11" t="s">
        <v>44</v>
      </c>
      <c r="E269" s="12">
        <v>461</v>
      </c>
      <c r="F269" s="15" t="s">
        <v>20</v>
      </c>
      <c r="AJ269" s="9"/>
      <c r="AK269" s="14"/>
      <c r="AL269" s="11"/>
      <c r="AM269" s="12"/>
      <c r="AN269" s="15"/>
    </row>
    <row r="270" spans="1:40" x14ac:dyDescent="0.25">
      <c r="A270" s="44"/>
      <c r="B270" s="9">
        <v>44098</v>
      </c>
      <c r="C270" s="14" t="s">
        <v>46</v>
      </c>
      <c r="D270" s="11" t="s">
        <v>47</v>
      </c>
      <c r="E270" s="12">
        <v>1341</v>
      </c>
      <c r="F270" s="15" t="s">
        <v>20</v>
      </c>
      <c r="AJ270" s="9"/>
      <c r="AK270" s="14"/>
      <c r="AL270" s="11"/>
      <c r="AM270" s="12"/>
      <c r="AN270" s="15"/>
    </row>
    <row r="271" spans="1:40" x14ac:dyDescent="0.25">
      <c r="A271" s="44"/>
      <c r="B271" s="9">
        <v>44099</v>
      </c>
      <c r="C271" s="14" t="s">
        <v>49</v>
      </c>
      <c r="D271" s="11" t="s">
        <v>50</v>
      </c>
      <c r="E271" s="12">
        <v>1853</v>
      </c>
      <c r="F271" s="15" t="s">
        <v>20</v>
      </c>
      <c r="AJ271" s="9"/>
      <c r="AK271" s="14"/>
      <c r="AL271" s="11"/>
      <c r="AM271" s="12"/>
      <c r="AN271" s="15"/>
    </row>
    <row r="272" spans="1:40" x14ac:dyDescent="0.25">
      <c r="A272" s="44"/>
      <c r="B272" s="9">
        <v>44100</v>
      </c>
      <c r="C272" s="14" t="s">
        <v>52</v>
      </c>
      <c r="D272" s="11" t="s">
        <v>53</v>
      </c>
      <c r="E272" s="12">
        <v>199</v>
      </c>
      <c r="F272" s="15" t="s">
        <v>20</v>
      </c>
      <c r="AJ272" s="9"/>
      <c r="AK272" s="14"/>
      <c r="AL272" s="11"/>
      <c r="AM272" s="12"/>
      <c r="AN272" s="15"/>
    </row>
    <row r="273" spans="1:40" x14ac:dyDescent="0.25">
      <c r="A273" s="44"/>
      <c r="B273" s="9">
        <v>44101</v>
      </c>
      <c r="C273" s="10" t="s">
        <v>12</v>
      </c>
      <c r="D273" s="11" t="s">
        <v>58</v>
      </c>
      <c r="E273" s="12">
        <v>1394</v>
      </c>
      <c r="F273" s="13" t="s">
        <v>11</v>
      </c>
      <c r="AJ273" s="9"/>
      <c r="AK273" s="10"/>
      <c r="AL273" s="11"/>
      <c r="AM273" s="12"/>
      <c r="AN273" s="13"/>
    </row>
    <row r="274" spans="1:40" x14ac:dyDescent="0.25">
      <c r="A274" s="44"/>
      <c r="B274" s="9">
        <v>44102</v>
      </c>
      <c r="C274" s="10" t="s">
        <v>15</v>
      </c>
      <c r="D274" s="11" t="s">
        <v>113</v>
      </c>
      <c r="E274" s="12">
        <v>1025</v>
      </c>
      <c r="F274" s="13" t="s">
        <v>11</v>
      </c>
      <c r="AJ274" s="9"/>
      <c r="AK274" s="10"/>
      <c r="AL274" s="11"/>
      <c r="AM274" s="12"/>
      <c r="AN274" s="13"/>
    </row>
    <row r="275" spans="1:40" x14ac:dyDescent="0.25">
      <c r="A275" s="44"/>
      <c r="B275" s="9">
        <v>44103</v>
      </c>
      <c r="C275" s="10" t="s">
        <v>18</v>
      </c>
      <c r="D275" s="11" t="s">
        <v>19</v>
      </c>
      <c r="E275" s="12">
        <v>632</v>
      </c>
      <c r="F275" s="13" t="s">
        <v>11</v>
      </c>
      <c r="AJ275" s="9"/>
      <c r="AK275" s="10"/>
      <c r="AL275" s="11"/>
      <c r="AM275" s="12"/>
      <c r="AN275" s="13"/>
    </row>
    <row r="276" spans="1:40" x14ac:dyDescent="0.25">
      <c r="A276" s="44"/>
      <c r="B276" s="9">
        <v>44104</v>
      </c>
      <c r="C276" s="10" t="s">
        <v>21</v>
      </c>
      <c r="D276" s="11" t="s">
        <v>22</v>
      </c>
      <c r="E276" s="12">
        <v>1476</v>
      </c>
      <c r="F276" s="13" t="s">
        <v>11</v>
      </c>
      <c r="AJ276" s="9"/>
      <c r="AK276" s="10"/>
      <c r="AL276" s="11"/>
      <c r="AM276" s="12"/>
      <c r="AN276" s="13"/>
    </row>
    <row r="277" spans="1:40" x14ac:dyDescent="0.25">
      <c r="A277" s="44"/>
      <c r="B277" s="9">
        <v>44105</v>
      </c>
      <c r="C277" s="10" t="s">
        <v>24</v>
      </c>
      <c r="D277" s="11" t="s">
        <v>114</v>
      </c>
      <c r="E277" s="12">
        <v>1065</v>
      </c>
      <c r="F277" s="13" t="s">
        <v>14</v>
      </c>
      <c r="AJ277" s="9"/>
      <c r="AK277" s="10"/>
      <c r="AL277" s="11"/>
      <c r="AM277" s="12"/>
      <c r="AN277" s="13"/>
    </row>
    <row r="278" spans="1:40" x14ac:dyDescent="0.25">
      <c r="A278" s="44"/>
      <c r="B278" s="9">
        <v>44106</v>
      </c>
      <c r="C278" s="10" t="s">
        <v>26</v>
      </c>
      <c r="D278" s="11" t="s">
        <v>115</v>
      </c>
      <c r="E278" s="12">
        <v>1373</v>
      </c>
      <c r="F278" s="13" t="s">
        <v>14</v>
      </c>
      <c r="AJ278" s="9"/>
      <c r="AK278" s="10"/>
      <c r="AL278" s="11"/>
      <c r="AM278" s="12"/>
      <c r="AN278" s="13"/>
    </row>
    <row r="279" spans="1:40" x14ac:dyDescent="0.25">
      <c r="A279" s="44"/>
      <c r="B279" s="9">
        <v>44107</v>
      </c>
      <c r="C279" s="10" t="s">
        <v>28</v>
      </c>
      <c r="D279" s="11" t="s">
        <v>29</v>
      </c>
      <c r="E279" s="12">
        <v>1686</v>
      </c>
      <c r="F279" s="13" t="s">
        <v>14</v>
      </c>
      <c r="AJ279" s="9"/>
      <c r="AK279" s="10"/>
      <c r="AL279" s="11"/>
      <c r="AM279" s="12"/>
      <c r="AN279" s="13"/>
    </row>
    <row r="280" spans="1:40" x14ac:dyDescent="0.25">
      <c r="A280" s="44"/>
      <c r="B280" s="9">
        <v>44108</v>
      </c>
      <c r="C280" s="10" t="s">
        <v>31</v>
      </c>
      <c r="D280" s="11" t="s">
        <v>116</v>
      </c>
      <c r="E280" s="12">
        <v>82</v>
      </c>
      <c r="F280" s="13" t="s">
        <v>20</v>
      </c>
      <c r="AJ280" s="9"/>
      <c r="AK280" s="10"/>
      <c r="AL280" s="11"/>
      <c r="AM280" s="12"/>
      <c r="AN280" s="13"/>
    </row>
    <row r="281" spans="1:40" x14ac:dyDescent="0.25">
      <c r="A281" s="44"/>
      <c r="B281" s="9">
        <v>44109</v>
      </c>
      <c r="C281" s="10" t="s">
        <v>34</v>
      </c>
      <c r="D281" s="11" t="s">
        <v>35</v>
      </c>
      <c r="E281" s="12">
        <v>794</v>
      </c>
      <c r="F281" s="13" t="s">
        <v>20</v>
      </c>
      <c r="AJ281" s="9"/>
      <c r="AK281" s="10"/>
      <c r="AL281" s="11"/>
      <c r="AM281" s="12"/>
      <c r="AN281" s="13"/>
    </row>
    <row r="282" spans="1:40" x14ac:dyDescent="0.25">
      <c r="A282" s="44"/>
      <c r="B282" s="9">
        <v>44110</v>
      </c>
      <c r="C282" s="14" t="s">
        <v>37</v>
      </c>
      <c r="D282" s="11" t="s">
        <v>38</v>
      </c>
      <c r="E282" s="12">
        <v>931</v>
      </c>
      <c r="F282" s="15" t="s">
        <v>20</v>
      </c>
      <c r="AJ282" s="9"/>
      <c r="AK282" s="14"/>
      <c r="AL282" s="11"/>
      <c r="AM282" s="12"/>
      <c r="AN282" s="15"/>
    </row>
    <row r="283" spans="1:40" x14ac:dyDescent="0.25">
      <c r="A283" s="44"/>
      <c r="B283" s="9">
        <v>44111</v>
      </c>
      <c r="C283" s="14" t="s">
        <v>40</v>
      </c>
      <c r="D283" s="11" t="s">
        <v>41</v>
      </c>
      <c r="E283" s="12">
        <v>240</v>
      </c>
      <c r="F283" s="15" t="s">
        <v>20</v>
      </c>
      <c r="AJ283" s="9"/>
      <c r="AK283" s="14"/>
      <c r="AL283" s="11"/>
      <c r="AM283" s="12"/>
      <c r="AN283" s="15"/>
    </row>
    <row r="284" spans="1:40" x14ac:dyDescent="0.25">
      <c r="A284" s="44"/>
      <c r="B284" s="9">
        <v>44112</v>
      </c>
      <c r="C284" s="14" t="s">
        <v>43</v>
      </c>
      <c r="D284" s="11" t="s">
        <v>44</v>
      </c>
      <c r="E284" s="12">
        <v>48</v>
      </c>
      <c r="F284" s="15" t="s">
        <v>20</v>
      </c>
      <c r="AJ284" s="9"/>
      <c r="AK284" s="14"/>
      <c r="AL284" s="11"/>
      <c r="AM284" s="12"/>
      <c r="AN284" s="15"/>
    </row>
    <row r="285" spans="1:40" x14ac:dyDescent="0.25">
      <c r="A285" s="44"/>
      <c r="B285" s="9">
        <v>44113</v>
      </c>
      <c r="C285" s="14" t="s">
        <v>46</v>
      </c>
      <c r="D285" s="11" t="s">
        <v>47</v>
      </c>
      <c r="E285" s="12">
        <v>328</v>
      </c>
      <c r="F285" s="15" t="s">
        <v>20</v>
      </c>
      <c r="AJ285" s="9"/>
      <c r="AK285" s="14"/>
      <c r="AL285" s="11"/>
      <c r="AM285" s="12"/>
      <c r="AN285" s="15"/>
    </row>
    <row r="286" spans="1:40" x14ac:dyDescent="0.25">
      <c r="A286" s="44"/>
      <c r="B286" s="9">
        <v>44114</v>
      </c>
      <c r="C286" s="14" t="s">
        <v>49</v>
      </c>
      <c r="D286" s="11" t="s">
        <v>50</v>
      </c>
      <c r="E286" s="12">
        <v>341</v>
      </c>
      <c r="F286" s="15" t="s">
        <v>20</v>
      </c>
      <c r="AJ286" s="9"/>
      <c r="AK286" s="14"/>
      <c r="AL286" s="11"/>
      <c r="AM286" s="12"/>
      <c r="AN286" s="15"/>
    </row>
    <row r="287" spans="1:40" x14ac:dyDescent="0.25">
      <c r="A287" s="44"/>
      <c r="B287" s="9">
        <v>44115</v>
      </c>
      <c r="C287" s="14" t="s">
        <v>52</v>
      </c>
      <c r="D287" s="11" t="s">
        <v>53</v>
      </c>
      <c r="E287" s="12">
        <v>889</v>
      </c>
      <c r="F287" s="15" t="s">
        <v>20</v>
      </c>
      <c r="AJ287" s="9"/>
      <c r="AK287" s="14"/>
      <c r="AL287" s="11"/>
      <c r="AM287" s="12"/>
      <c r="AN287" s="15"/>
    </row>
    <row r="288" spans="1:40" x14ac:dyDescent="0.25">
      <c r="A288" s="44"/>
      <c r="B288" s="9">
        <v>44116</v>
      </c>
      <c r="C288" s="10" t="s">
        <v>12</v>
      </c>
      <c r="D288" s="11" t="s">
        <v>59</v>
      </c>
      <c r="E288" s="12">
        <v>1754</v>
      </c>
      <c r="F288" s="13" t="s">
        <v>11</v>
      </c>
      <c r="AJ288" s="9"/>
      <c r="AK288" s="10"/>
      <c r="AL288" s="11"/>
      <c r="AM288" s="12"/>
      <c r="AN288" s="13"/>
    </row>
    <row r="289" spans="1:40" x14ac:dyDescent="0.25">
      <c r="A289" s="44"/>
      <c r="B289" s="9">
        <v>44117</v>
      </c>
      <c r="C289" s="10" t="s">
        <v>15</v>
      </c>
      <c r="D289" s="11" t="s">
        <v>117</v>
      </c>
      <c r="E289" s="12">
        <v>3622</v>
      </c>
      <c r="F289" s="13" t="s">
        <v>11</v>
      </c>
      <c r="AJ289" s="9"/>
      <c r="AK289" s="10"/>
      <c r="AL289" s="11"/>
      <c r="AM289" s="12"/>
      <c r="AN289" s="13"/>
    </row>
    <row r="290" spans="1:40" x14ac:dyDescent="0.25">
      <c r="A290" s="44"/>
      <c r="B290" s="9">
        <v>44118</v>
      </c>
      <c r="C290" s="10" t="s">
        <v>18</v>
      </c>
      <c r="D290" s="11" t="s">
        <v>19</v>
      </c>
      <c r="E290" s="12">
        <v>3801</v>
      </c>
      <c r="F290" s="13" t="s">
        <v>11</v>
      </c>
      <c r="AJ290" s="9"/>
      <c r="AK290" s="10"/>
      <c r="AL290" s="11"/>
      <c r="AM290" s="12"/>
      <c r="AN290" s="13"/>
    </row>
    <row r="291" spans="1:40" x14ac:dyDescent="0.25">
      <c r="A291" s="44"/>
      <c r="B291" s="9">
        <v>44119</v>
      </c>
      <c r="C291" s="10" t="s">
        <v>21</v>
      </c>
      <c r="D291" s="11" t="s">
        <v>22</v>
      </c>
      <c r="E291" s="12">
        <v>1575</v>
      </c>
      <c r="F291" s="13" t="s">
        <v>11</v>
      </c>
      <c r="AJ291" s="9"/>
      <c r="AK291" s="10"/>
      <c r="AL291" s="11"/>
      <c r="AM291" s="12"/>
      <c r="AN291" s="13"/>
    </row>
    <row r="292" spans="1:40" x14ac:dyDescent="0.25">
      <c r="A292" s="44"/>
      <c r="B292" s="9">
        <v>44120</v>
      </c>
      <c r="C292" s="10" t="s">
        <v>24</v>
      </c>
      <c r="D292" s="11" t="s">
        <v>118</v>
      </c>
      <c r="E292" s="12">
        <v>836</v>
      </c>
      <c r="F292" s="13" t="s">
        <v>14</v>
      </c>
      <c r="AJ292" s="9"/>
      <c r="AK292" s="10"/>
      <c r="AL292" s="11"/>
      <c r="AM292" s="12"/>
      <c r="AN292" s="13"/>
    </row>
    <row r="293" spans="1:40" x14ac:dyDescent="0.25">
      <c r="A293" s="44"/>
      <c r="B293" s="9">
        <v>44121</v>
      </c>
      <c r="C293" s="10" t="s">
        <v>26</v>
      </c>
      <c r="D293" s="11" t="s">
        <v>119</v>
      </c>
      <c r="E293" s="12">
        <v>561</v>
      </c>
      <c r="F293" s="13" t="s">
        <v>14</v>
      </c>
      <c r="AJ293" s="9"/>
      <c r="AK293" s="10"/>
      <c r="AL293" s="11"/>
      <c r="AM293" s="12"/>
      <c r="AN293" s="13"/>
    </row>
    <row r="294" spans="1:40" x14ac:dyDescent="0.25">
      <c r="A294" s="44"/>
      <c r="B294" s="9">
        <v>44122</v>
      </c>
      <c r="C294" s="10" t="s">
        <v>28</v>
      </c>
      <c r="D294" s="11" t="s">
        <v>29</v>
      </c>
      <c r="E294" s="12">
        <v>1965</v>
      </c>
      <c r="F294" s="13" t="s">
        <v>14</v>
      </c>
      <c r="AJ294" s="9"/>
      <c r="AK294" s="10"/>
      <c r="AL294" s="11"/>
      <c r="AM294" s="12"/>
      <c r="AN294" s="13"/>
    </row>
    <row r="295" spans="1:40" x14ac:dyDescent="0.25">
      <c r="A295" s="44"/>
      <c r="B295" s="9">
        <v>44123</v>
      </c>
      <c r="C295" s="10" t="s">
        <v>31</v>
      </c>
      <c r="D295" s="11" t="s">
        <v>120</v>
      </c>
      <c r="E295" s="12">
        <v>713</v>
      </c>
      <c r="F295" s="13" t="s">
        <v>20</v>
      </c>
      <c r="AJ295" s="9"/>
      <c r="AK295" s="10"/>
      <c r="AL295" s="11"/>
      <c r="AM295" s="12"/>
      <c r="AN295" s="13"/>
    </row>
    <row r="296" spans="1:40" x14ac:dyDescent="0.25">
      <c r="A296" s="44"/>
      <c r="B296" s="9">
        <v>44124</v>
      </c>
      <c r="C296" s="10" t="s">
        <v>34</v>
      </c>
      <c r="D296" s="11" t="s">
        <v>35</v>
      </c>
      <c r="E296" s="12">
        <v>595</v>
      </c>
      <c r="F296" s="13" t="s">
        <v>20</v>
      </c>
      <c r="AJ296" s="9"/>
      <c r="AK296" s="10"/>
      <c r="AL296" s="11"/>
      <c r="AM296" s="12"/>
      <c r="AN296" s="13"/>
    </row>
    <row r="297" spans="1:40" x14ac:dyDescent="0.25">
      <c r="A297" s="44"/>
      <c r="B297" s="9">
        <v>44125</v>
      </c>
      <c r="C297" s="14" t="s">
        <v>37</v>
      </c>
      <c r="D297" s="11" t="s">
        <v>38</v>
      </c>
      <c r="E297" s="12">
        <v>372</v>
      </c>
      <c r="F297" s="15" t="s">
        <v>20</v>
      </c>
      <c r="AJ297" s="9"/>
      <c r="AK297" s="14"/>
      <c r="AL297" s="11"/>
      <c r="AM297" s="12"/>
      <c r="AN297" s="15"/>
    </row>
    <row r="298" spans="1:40" x14ac:dyDescent="0.25">
      <c r="A298" s="44"/>
      <c r="B298" s="9">
        <v>44126</v>
      </c>
      <c r="C298" s="14" t="s">
        <v>40</v>
      </c>
      <c r="D298" s="11" t="s">
        <v>41</v>
      </c>
      <c r="E298" s="12">
        <v>1658</v>
      </c>
      <c r="F298" s="15" t="s">
        <v>20</v>
      </c>
      <c r="AJ298" s="9"/>
      <c r="AK298" s="14"/>
      <c r="AL298" s="11"/>
      <c r="AM298" s="12"/>
      <c r="AN298" s="15"/>
    </row>
    <row r="299" spans="1:40" x14ac:dyDescent="0.25">
      <c r="A299" s="44"/>
      <c r="B299" s="9">
        <v>44127</v>
      </c>
      <c r="C299" s="14" t="s">
        <v>43</v>
      </c>
      <c r="D299" s="11" t="s">
        <v>44</v>
      </c>
      <c r="E299" s="12">
        <v>404</v>
      </c>
      <c r="F299" s="15" t="s">
        <v>20</v>
      </c>
      <c r="AJ299" s="9"/>
      <c r="AK299" s="14"/>
      <c r="AL299" s="11"/>
      <c r="AM299" s="12"/>
      <c r="AN299" s="15"/>
    </row>
    <row r="300" spans="1:40" x14ac:dyDescent="0.25">
      <c r="A300" s="44"/>
      <c r="B300" s="9">
        <v>44128</v>
      </c>
      <c r="C300" s="14" t="s">
        <v>46</v>
      </c>
      <c r="D300" s="11" t="s">
        <v>47</v>
      </c>
      <c r="E300" s="12">
        <v>95</v>
      </c>
      <c r="F300" s="15" t="s">
        <v>20</v>
      </c>
      <c r="AJ300" s="9"/>
      <c r="AK300" s="14"/>
      <c r="AL300" s="11"/>
      <c r="AM300" s="12"/>
      <c r="AN300" s="15"/>
    </row>
    <row r="301" spans="1:40" x14ac:dyDescent="0.25">
      <c r="A301" s="44"/>
      <c r="B301" s="9">
        <v>44129</v>
      </c>
      <c r="C301" s="14" t="s">
        <v>49</v>
      </c>
      <c r="D301" s="11" t="s">
        <v>50</v>
      </c>
      <c r="E301" s="12">
        <v>614</v>
      </c>
      <c r="F301" s="15" t="s">
        <v>20</v>
      </c>
      <c r="AJ301" s="9"/>
      <c r="AK301" s="14"/>
      <c r="AL301" s="11"/>
      <c r="AM301" s="12"/>
      <c r="AN301" s="15"/>
    </row>
    <row r="302" spans="1:40" x14ac:dyDescent="0.25">
      <c r="A302" s="44"/>
      <c r="B302" s="9">
        <v>44130</v>
      </c>
      <c r="C302" s="14" t="s">
        <v>52</v>
      </c>
      <c r="D302" s="11" t="s">
        <v>53</v>
      </c>
      <c r="E302" s="12">
        <v>1567</v>
      </c>
      <c r="F302" s="15" t="s">
        <v>20</v>
      </c>
      <c r="AJ302" s="9"/>
      <c r="AK302" s="14"/>
      <c r="AL302" s="11"/>
      <c r="AM302" s="12"/>
      <c r="AN302" s="15"/>
    </row>
    <row r="303" spans="1:40" x14ac:dyDescent="0.25">
      <c r="A303" s="44"/>
      <c r="B303" s="9">
        <v>44131</v>
      </c>
      <c r="C303" s="10" t="s">
        <v>12</v>
      </c>
      <c r="D303" s="11" t="s">
        <v>60</v>
      </c>
      <c r="E303" s="12">
        <v>2352</v>
      </c>
      <c r="F303" s="13" t="s">
        <v>11</v>
      </c>
      <c r="AJ303" s="9"/>
      <c r="AK303" s="10"/>
      <c r="AL303" s="11"/>
      <c r="AM303" s="12"/>
      <c r="AN303" s="13"/>
    </row>
    <row r="304" spans="1:40" x14ac:dyDescent="0.25">
      <c r="A304" s="44"/>
      <c r="B304" s="9">
        <v>44132</v>
      </c>
      <c r="C304" s="10" t="s">
        <v>15</v>
      </c>
      <c r="D304" s="11" t="s">
        <v>121</v>
      </c>
      <c r="E304" s="12">
        <v>3255</v>
      </c>
      <c r="F304" s="13" t="s">
        <v>11</v>
      </c>
      <c r="AJ304" s="9"/>
      <c r="AK304" s="10"/>
      <c r="AL304" s="11"/>
      <c r="AM304" s="12"/>
      <c r="AN304" s="13"/>
    </row>
    <row r="305" spans="1:40" x14ac:dyDescent="0.25">
      <c r="A305" s="44"/>
      <c r="B305" s="9">
        <v>44133</v>
      </c>
      <c r="C305" s="10" t="s">
        <v>18</v>
      </c>
      <c r="D305" s="11" t="s">
        <v>19</v>
      </c>
      <c r="E305" s="12">
        <v>1074</v>
      </c>
      <c r="F305" s="13" t="s">
        <v>11</v>
      </c>
      <c r="AJ305" s="9"/>
      <c r="AK305" s="10"/>
      <c r="AL305" s="11"/>
      <c r="AM305" s="12"/>
      <c r="AN305" s="13"/>
    </row>
    <row r="306" spans="1:40" x14ac:dyDescent="0.25">
      <c r="A306" s="44"/>
      <c r="B306" s="9">
        <v>44134</v>
      </c>
      <c r="C306" s="10" t="s">
        <v>21</v>
      </c>
      <c r="D306" s="11" t="s">
        <v>22</v>
      </c>
      <c r="E306" s="12">
        <v>402</v>
      </c>
      <c r="F306" s="13" t="s">
        <v>11</v>
      </c>
      <c r="AJ306" s="9"/>
      <c r="AK306" s="10"/>
      <c r="AL306" s="11"/>
      <c r="AM306" s="12"/>
      <c r="AN306" s="13"/>
    </row>
    <row r="307" spans="1:40" x14ac:dyDescent="0.25">
      <c r="A307" s="44"/>
      <c r="B307" s="9">
        <v>44135</v>
      </c>
      <c r="C307" s="10" t="s">
        <v>24</v>
      </c>
      <c r="D307" s="11" t="s">
        <v>122</v>
      </c>
      <c r="E307" s="12">
        <v>1444</v>
      </c>
      <c r="F307" s="13" t="s">
        <v>14</v>
      </c>
      <c r="AJ307" s="9"/>
      <c r="AK307" s="10"/>
      <c r="AL307" s="11"/>
      <c r="AM307" s="12"/>
      <c r="AN307" s="13"/>
    </row>
    <row r="308" spans="1:40" x14ac:dyDescent="0.25">
      <c r="A308" s="44"/>
      <c r="B308" s="9">
        <v>44136</v>
      </c>
      <c r="C308" s="10" t="s">
        <v>26</v>
      </c>
      <c r="D308" s="11" t="s">
        <v>123</v>
      </c>
      <c r="E308" s="12">
        <v>982</v>
      </c>
      <c r="F308" s="13" t="s">
        <v>14</v>
      </c>
      <c r="AJ308" s="9"/>
      <c r="AK308" s="10"/>
      <c r="AL308" s="11"/>
      <c r="AM308" s="12"/>
      <c r="AN308" s="13"/>
    </row>
    <row r="309" spans="1:40" x14ac:dyDescent="0.25">
      <c r="A309" s="44"/>
      <c r="B309" s="9">
        <v>44137</v>
      </c>
      <c r="C309" s="10" t="s">
        <v>28</v>
      </c>
      <c r="D309" s="11" t="s">
        <v>29</v>
      </c>
      <c r="E309" s="12">
        <v>1244</v>
      </c>
      <c r="F309" s="13" t="s">
        <v>14</v>
      </c>
      <c r="AJ309" s="9"/>
      <c r="AK309" s="10"/>
      <c r="AL309" s="11"/>
      <c r="AM309" s="12"/>
      <c r="AN309" s="13"/>
    </row>
    <row r="310" spans="1:40" x14ac:dyDescent="0.25">
      <c r="A310" s="44"/>
      <c r="B310" s="9">
        <v>44138</v>
      </c>
      <c r="C310" s="10" t="s">
        <v>31</v>
      </c>
      <c r="D310" s="11" t="s">
        <v>124</v>
      </c>
      <c r="E310" s="12">
        <v>1357</v>
      </c>
      <c r="F310" s="13" t="s">
        <v>20</v>
      </c>
      <c r="AJ310" s="9"/>
      <c r="AK310" s="10"/>
      <c r="AL310" s="11"/>
      <c r="AM310" s="12"/>
      <c r="AN310" s="13"/>
    </row>
    <row r="311" spans="1:40" x14ac:dyDescent="0.25">
      <c r="A311" s="44"/>
      <c r="B311" s="9">
        <v>44139</v>
      </c>
      <c r="C311" s="10" t="s">
        <v>34</v>
      </c>
      <c r="D311" s="11" t="s">
        <v>35</v>
      </c>
      <c r="E311" s="12">
        <v>177</v>
      </c>
      <c r="F311" s="13" t="s">
        <v>20</v>
      </c>
      <c r="AJ311" s="9"/>
      <c r="AK311" s="10"/>
      <c r="AL311" s="11"/>
      <c r="AM311" s="12"/>
      <c r="AN311" s="13"/>
    </row>
    <row r="312" spans="1:40" x14ac:dyDescent="0.25">
      <c r="A312" s="44"/>
      <c r="B312" s="9">
        <v>44140</v>
      </c>
      <c r="C312" s="14" t="s">
        <v>37</v>
      </c>
      <c r="D312" s="11" t="s">
        <v>38</v>
      </c>
      <c r="E312" s="12">
        <v>81</v>
      </c>
      <c r="F312" s="15" t="s">
        <v>20</v>
      </c>
      <c r="AJ312" s="9"/>
      <c r="AK312" s="14"/>
      <c r="AL312" s="11"/>
      <c r="AM312" s="12"/>
      <c r="AN312" s="15"/>
    </row>
    <row r="313" spans="1:40" x14ac:dyDescent="0.25">
      <c r="A313" s="44"/>
      <c r="B313" s="9">
        <v>44141</v>
      </c>
      <c r="C313" s="14" t="s">
        <v>40</v>
      </c>
      <c r="D313" s="11" t="s">
        <v>41</v>
      </c>
      <c r="E313" s="12">
        <v>45</v>
      </c>
      <c r="F313" s="15" t="s">
        <v>20</v>
      </c>
      <c r="AJ313" s="9"/>
      <c r="AK313" s="14"/>
      <c r="AL313" s="11"/>
      <c r="AM313" s="12"/>
      <c r="AN313" s="15"/>
    </row>
    <row r="314" spans="1:40" x14ac:dyDescent="0.25">
      <c r="A314" s="44"/>
      <c r="B314" s="9">
        <v>44142</v>
      </c>
      <c r="C314" s="14" t="s">
        <v>43</v>
      </c>
      <c r="D314" s="11" t="s">
        <v>44</v>
      </c>
      <c r="E314" s="12">
        <v>592</v>
      </c>
      <c r="F314" s="15" t="s">
        <v>20</v>
      </c>
      <c r="AJ314" s="9"/>
      <c r="AK314" s="14"/>
      <c r="AL314" s="11"/>
      <c r="AM314" s="12"/>
      <c r="AN314" s="15"/>
    </row>
    <row r="315" spans="1:40" x14ac:dyDescent="0.25">
      <c r="A315" s="44"/>
      <c r="B315" s="9">
        <v>44143</v>
      </c>
      <c r="C315" s="14" t="s">
        <v>46</v>
      </c>
      <c r="D315" s="11" t="s">
        <v>47</v>
      </c>
      <c r="E315" s="12">
        <v>40</v>
      </c>
      <c r="F315" s="15" t="s">
        <v>20</v>
      </c>
      <c r="AJ315" s="9"/>
      <c r="AK315" s="14"/>
      <c r="AL315" s="11"/>
      <c r="AM315" s="12"/>
      <c r="AN315" s="15"/>
    </row>
    <row r="316" spans="1:40" x14ac:dyDescent="0.25">
      <c r="A316" s="44"/>
      <c r="B316" s="9">
        <v>44144</v>
      </c>
      <c r="C316" s="14" t="s">
        <v>49</v>
      </c>
      <c r="D316" s="11" t="s">
        <v>50</v>
      </c>
      <c r="E316" s="12">
        <v>1259</v>
      </c>
      <c r="F316" s="15" t="s">
        <v>20</v>
      </c>
      <c r="AJ316" s="9"/>
      <c r="AK316" s="14"/>
      <c r="AL316" s="11"/>
      <c r="AM316" s="12"/>
      <c r="AN316" s="15"/>
    </row>
    <row r="317" spans="1:40" x14ac:dyDescent="0.25">
      <c r="A317" s="44"/>
      <c r="B317" s="9">
        <v>44145</v>
      </c>
      <c r="C317" s="14" t="s">
        <v>52</v>
      </c>
      <c r="D317" s="11" t="s">
        <v>53</v>
      </c>
      <c r="E317" s="12">
        <v>1485</v>
      </c>
      <c r="F317" s="15" t="s">
        <v>20</v>
      </c>
      <c r="AJ317" s="9"/>
      <c r="AK317" s="14"/>
      <c r="AL317" s="11"/>
      <c r="AM317" s="12"/>
      <c r="AN317" s="15"/>
    </row>
    <row r="318" spans="1:40" x14ac:dyDescent="0.25">
      <c r="A318" s="44"/>
      <c r="B318" s="9">
        <v>44146</v>
      </c>
      <c r="C318" s="10" t="s">
        <v>12</v>
      </c>
      <c r="D318" s="11" t="s">
        <v>61</v>
      </c>
      <c r="E318" s="12">
        <v>1621</v>
      </c>
      <c r="F318" s="13" t="s">
        <v>11</v>
      </c>
      <c r="AJ318" s="9"/>
      <c r="AK318" s="10"/>
      <c r="AL318" s="11"/>
      <c r="AM318" s="12"/>
      <c r="AN318" s="13"/>
    </row>
    <row r="319" spans="1:40" x14ac:dyDescent="0.25">
      <c r="A319" s="44"/>
      <c r="B319" s="9">
        <v>44147</v>
      </c>
      <c r="C319" s="10" t="s">
        <v>15</v>
      </c>
      <c r="D319" s="11" t="s">
        <v>125</v>
      </c>
      <c r="E319" s="12">
        <v>3425</v>
      </c>
      <c r="F319" s="13" t="s">
        <v>11</v>
      </c>
      <c r="AJ319" s="9"/>
      <c r="AK319" s="10"/>
      <c r="AL319" s="11"/>
      <c r="AM319" s="12"/>
      <c r="AN319" s="13"/>
    </row>
    <row r="320" spans="1:40" x14ac:dyDescent="0.25">
      <c r="A320" s="44"/>
      <c r="B320" s="9">
        <v>44148</v>
      </c>
      <c r="C320" s="10" t="s">
        <v>18</v>
      </c>
      <c r="D320" s="11" t="s">
        <v>19</v>
      </c>
      <c r="E320" s="12">
        <v>3570</v>
      </c>
      <c r="F320" s="13" t="s">
        <v>11</v>
      </c>
      <c r="AJ320" s="9"/>
      <c r="AK320" s="10"/>
      <c r="AL320" s="11"/>
      <c r="AM320" s="12"/>
      <c r="AN320" s="13"/>
    </row>
    <row r="321" spans="1:40" x14ac:dyDescent="0.25">
      <c r="A321" s="44"/>
      <c r="B321" s="9">
        <v>44149</v>
      </c>
      <c r="C321" s="10" t="s">
        <v>21</v>
      </c>
      <c r="D321" s="11" t="s">
        <v>22</v>
      </c>
      <c r="E321" s="12">
        <v>1543</v>
      </c>
      <c r="F321" s="13" t="s">
        <v>11</v>
      </c>
      <c r="AJ321" s="9"/>
      <c r="AK321" s="10"/>
      <c r="AL321" s="11"/>
      <c r="AM321" s="12"/>
      <c r="AN321" s="13"/>
    </row>
    <row r="322" spans="1:40" x14ac:dyDescent="0.25">
      <c r="A322" s="44"/>
      <c r="B322" s="9">
        <v>44150</v>
      </c>
      <c r="C322" s="10" t="s">
        <v>24</v>
      </c>
      <c r="D322" s="11" t="s">
        <v>126</v>
      </c>
      <c r="E322" s="12">
        <v>45</v>
      </c>
      <c r="F322" s="13" t="s">
        <v>14</v>
      </c>
      <c r="AJ322" s="9"/>
      <c r="AK322" s="10"/>
      <c r="AL322" s="11"/>
      <c r="AM322" s="12"/>
      <c r="AN322" s="13"/>
    </row>
    <row r="323" spans="1:40" x14ac:dyDescent="0.25">
      <c r="A323" s="44"/>
      <c r="B323" s="9">
        <v>44151</v>
      </c>
      <c r="C323" s="10" t="s">
        <v>26</v>
      </c>
      <c r="D323" s="11" t="s">
        <v>127</v>
      </c>
      <c r="E323" s="12">
        <v>1548</v>
      </c>
      <c r="F323" s="13" t="s">
        <v>14</v>
      </c>
      <c r="AJ323" s="9"/>
      <c r="AK323" s="10"/>
      <c r="AL323" s="11"/>
      <c r="AM323" s="12"/>
      <c r="AN323" s="13"/>
    </row>
    <row r="324" spans="1:40" x14ac:dyDescent="0.25">
      <c r="A324" s="44"/>
      <c r="B324" s="9">
        <v>44152</v>
      </c>
      <c r="C324" s="10" t="s">
        <v>28</v>
      </c>
      <c r="D324" s="11" t="s">
        <v>29</v>
      </c>
      <c r="E324" s="12">
        <v>1818</v>
      </c>
      <c r="F324" s="13" t="s">
        <v>14</v>
      </c>
      <c r="AJ324" s="9"/>
      <c r="AK324" s="10"/>
      <c r="AL324" s="11"/>
      <c r="AM324" s="12"/>
      <c r="AN324" s="13"/>
    </row>
    <row r="325" spans="1:40" x14ac:dyDescent="0.25">
      <c r="A325" s="44"/>
      <c r="B325" s="9">
        <v>44153</v>
      </c>
      <c r="C325" s="10" t="s">
        <v>31</v>
      </c>
      <c r="D325" s="11" t="s">
        <v>128</v>
      </c>
      <c r="E325" s="12">
        <v>452</v>
      </c>
      <c r="F325" s="13" t="s">
        <v>20</v>
      </c>
      <c r="AJ325" s="9"/>
      <c r="AK325" s="10"/>
      <c r="AL325" s="11"/>
      <c r="AM325" s="12"/>
      <c r="AN325" s="13"/>
    </row>
    <row r="326" spans="1:40" x14ac:dyDescent="0.25">
      <c r="A326" s="44"/>
      <c r="B326" s="9">
        <v>44154</v>
      </c>
      <c r="C326" s="10" t="s">
        <v>34</v>
      </c>
      <c r="D326" s="11" t="s">
        <v>35</v>
      </c>
      <c r="E326" s="12">
        <v>937</v>
      </c>
      <c r="F326" s="13" t="s">
        <v>20</v>
      </c>
      <c r="AJ326" s="9"/>
      <c r="AK326" s="10"/>
      <c r="AL326" s="11"/>
      <c r="AM326" s="12"/>
      <c r="AN326" s="13"/>
    </row>
    <row r="327" spans="1:40" x14ac:dyDescent="0.25">
      <c r="A327" s="44"/>
      <c r="B327" s="9">
        <v>44155</v>
      </c>
      <c r="C327" s="14" t="s">
        <v>37</v>
      </c>
      <c r="D327" s="11" t="s">
        <v>38</v>
      </c>
      <c r="E327" s="12">
        <v>731</v>
      </c>
      <c r="F327" s="15" t="s">
        <v>20</v>
      </c>
      <c r="AJ327" s="9"/>
      <c r="AK327" s="14"/>
      <c r="AL327" s="11"/>
      <c r="AM327" s="12"/>
      <c r="AN327" s="15"/>
    </row>
    <row r="328" spans="1:40" x14ac:dyDescent="0.25">
      <c r="A328" s="44"/>
      <c r="B328" s="9">
        <v>44156</v>
      </c>
      <c r="C328" s="14" t="s">
        <v>40</v>
      </c>
      <c r="D328" s="11" t="s">
        <v>41</v>
      </c>
      <c r="E328" s="12">
        <v>84</v>
      </c>
      <c r="F328" s="15" t="s">
        <v>20</v>
      </c>
      <c r="AJ328" s="9"/>
      <c r="AK328" s="14"/>
      <c r="AL328" s="11"/>
      <c r="AM328" s="12"/>
      <c r="AN328" s="15"/>
    </row>
    <row r="329" spans="1:40" x14ac:dyDescent="0.25">
      <c r="A329" s="44"/>
      <c r="B329" s="9">
        <v>44157</v>
      </c>
      <c r="C329" s="14" t="s">
        <v>43</v>
      </c>
      <c r="D329" s="11" t="s">
        <v>44</v>
      </c>
      <c r="E329" s="12">
        <v>84</v>
      </c>
      <c r="F329" s="15" t="s">
        <v>20</v>
      </c>
      <c r="AJ329" s="9"/>
      <c r="AK329" s="14"/>
      <c r="AL329" s="11"/>
      <c r="AM329" s="12"/>
      <c r="AN329" s="15"/>
    </row>
    <row r="330" spans="1:40" x14ac:dyDescent="0.25">
      <c r="A330" s="44"/>
      <c r="B330" s="9">
        <v>44158</v>
      </c>
      <c r="C330" s="14" t="s">
        <v>46</v>
      </c>
      <c r="D330" s="11" t="s">
        <v>47</v>
      </c>
      <c r="E330" s="12">
        <v>1400</v>
      </c>
      <c r="F330" s="15" t="s">
        <v>20</v>
      </c>
      <c r="AJ330" s="9"/>
      <c r="AK330" s="14"/>
      <c r="AL330" s="11"/>
      <c r="AM330" s="12"/>
      <c r="AN330" s="15"/>
    </row>
    <row r="331" spans="1:40" x14ac:dyDescent="0.25">
      <c r="A331" s="44"/>
      <c r="B331" s="9">
        <v>44159</v>
      </c>
      <c r="C331" s="14" t="s">
        <v>49</v>
      </c>
      <c r="D331" s="11" t="s">
        <v>50</v>
      </c>
      <c r="E331" s="12">
        <v>753</v>
      </c>
      <c r="F331" s="15" t="s">
        <v>20</v>
      </c>
      <c r="AJ331" s="9"/>
      <c r="AK331" s="14"/>
      <c r="AL331" s="11"/>
      <c r="AM331" s="12"/>
      <c r="AN331" s="15"/>
    </row>
    <row r="332" spans="1:40" x14ac:dyDescent="0.25">
      <c r="A332" s="44"/>
      <c r="B332" s="9">
        <v>44160</v>
      </c>
      <c r="C332" s="14" t="s">
        <v>52</v>
      </c>
      <c r="D332" s="11" t="s">
        <v>53</v>
      </c>
      <c r="E332" s="12">
        <v>489</v>
      </c>
      <c r="F332" s="15" t="s">
        <v>20</v>
      </c>
      <c r="AJ332" s="9"/>
      <c r="AK332" s="14"/>
      <c r="AL332" s="11"/>
      <c r="AM332" s="12"/>
      <c r="AN332" s="15"/>
    </row>
    <row r="333" spans="1:40" x14ac:dyDescent="0.25">
      <c r="A333" s="44"/>
      <c r="B333" s="9">
        <v>44161</v>
      </c>
      <c r="C333" s="10" t="s">
        <v>12</v>
      </c>
      <c r="D333" s="11" t="s">
        <v>62</v>
      </c>
      <c r="E333" s="12">
        <v>1399</v>
      </c>
      <c r="F333" s="13" t="s">
        <v>11</v>
      </c>
      <c r="AJ333" s="9"/>
      <c r="AK333" s="10"/>
      <c r="AL333" s="11"/>
      <c r="AM333" s="12"/>
      <c r="AN333" s="13"/>
    </row>
    <row r="334" spans="1:40" x14ac:dyDescent="0.25">
      <c r="A334" s="44"/>
      <c r="B334" s="9">
        <v>44162</v>
      </c>
      <c r="C334" s="10" t="s">
        <v>15</v>
      </c>
      <c r="D334" s="11" t="s">
        <v>129</v>
      </c>
      <c r="E334" s="12">
        <v>3969</v>
      </c>
      <c r="F334" s="13" t="s">
        <v>11</v>
      </c>
      <c r="AJ334" s="9"/>
      <c r="AK334" s="10"/>
      <c r="AL334" s="11"/>
      <c r="AM334" s="12"/>
      <c r="AN334" s="13"/>
    </row>
    <row r="335" spans="1:40" x14ac:dyDescent="0.25">
      <c r="A335" s="44"/>
      <c r="B335" s="9">
        <v>44163</v>
      </c>
      <c r="C335" s="10" t="s">
        <v>18</v>
      </c>
      <c r="D335" s="11" t="s">
        <v>19</v>
      </c>
      <c r="E335" s="12">
        <v>3527</v>
      </c>
      <c r="F335" s="13" t="s">
        <v>11</v>
      </c>
      <c r="AJ335" s="9"/>
      <c r="AK335" s="10"/>
      <c r="AL335" s="11"/>
      <c r="AM335" s="12"/>
      <c r="AN335" s="13"/>
    </row>
    <row r="336" spans="1:40" x14ac:dyDescent="0.25">
      <c r="A336" s="44"/>
      <c r="B336" s="9">
        <v>44164</v>
      </c>
      <c r="C336" s="10" t="s">
        <v>21</v>
      </c>
      <c r="D336" s="11" t="s">
        <v>22</v>
      </c>
      <c r="E336" s="12">
        <v>1573</v>
      </c>
      <c r="F336" s="13" t="s">
        <v>11</v>
      </c>
      <c r="AJ336" s="9"/>
      <c r="AK336" s="10"/>
      <c r="AL336" s="11"/>
      <c r="AM336" s="12"/>
      <c r="AN336" s="13"/>
    </row>
    <row r="337" spans="1:40" x14ac:dyDescent="0.25">
      <c r="A337" s="44"/>
      <c r="B337" s="9">
        <v>44165</v>
      </c>
      <c r="C337" s="10" t="s">
        <v>24</v>
      </c>
      <c r="D337" s="11" t="s">
        <v>130</v>
      </c>
      <c r="E337" s="12">
        <v>176</v>
      </c>
      <c r="F337" s="13" t="s">
        <v>14</v>
      </c>
      <c r="AJ337" s="9"/>
      <c r="AK337" s="10"/>
      <c r="AL337" s="11"/>
      <c r="AM337" s="12"/>
      <c r="AN337" s="13"/>
    </row>
    <row r="338" spans="1:40" x14ac:dyDescent="0.25">
      <c r="A338" s="44"/>
      <c r="B338" s="9">
        <v>44166</v>
      </c>
      <c r="C338" s="10" t="s">
        <v>26</v>
      </c>
      <c r="D338" s="11" t="s">
        <v>131</v>
      </c>
      <c r="E338" s="12">
        <v>1068</v>
      </c>
      <c r="F338" s="13" t="s">
        <v>14</v>
      </c>
      <c r="AJ338" s="9"/>
      <c r="AK338" s="10"/>
      <c r="AL338" s="11"/>
      <c r="AM338" s="12"/>
      <c r="AN338" s="13"/>
    </row>
    <row r="339" spans="1:40" x14ac:dyDescent="0.25">
      <c r="A339" s="44"/>
      <c r="B339" s="9">
        <v>44167</v>
      </c>
      <c r="C339" s="10" t="s">
        <v>28</v>
      </c>
      <c r="D339" s="11" t="s">
        <v>29</v>
      </c>
      <c r="E339" s="12">
        <v>83</v>
      </c>
      <c r="F339" s="13" t="s">
        <v>14</v>
      </c>
      <c r="AJ339" s="9"/>
      <c r="AK339" s="10"/>
      <c r="AL339" s="11"/>
      <c r="AM339" s="12"/>
      <c r="AN339" s="13"/>
    </row>
    <row r="340" spans="1:40" x14ac:dyDescent="0.25">
      <c r="A340" s="44"/>
      <c r="B340" s="9">
        <v>44168</v>
      </c>
      <c r="C340" s="10" t="s">
        <v>31</v>
      </c>
      <c r="D340" s="11" t="s">
        <v>132</v>
      </c>
      <c r="E340" s="12">
        <v>955</v>
      </c>
      <c r="F340" s="13" t="s">
        <v>20</v>
      </c>
      <c r="AJ340" s="9"/>
      <c r="AK340" s="10"/>
      <c r="AL340" s="11"/>
      <c r="AM340" s="12"/>
      <c r="AN340" s="13"/>
    </row>
    <row r="341" spans="1:40" x14ac:dyDescent="0.25">
      <c r="A341" s="44"/>
      <c r="B341" s="9">
        <v>44169</v>
      </c>
      <c r="C341" s="10" t="s">
        <v>34</v>
      </c>
      <c r="D341" s="11" t="s">
        <v>35</v>
      </c>
      <c r="E341" s="12">
        <v>776</v>
      </c>
      <c r="F341" s="13" t="s">
        <v>20</v>
      </c>
      <c r="AJ341" s="9"/>
      <c r="AK341" s="10"/>
      <c r="AL341" s="11"/>
      <c r="AM341" s="12"/>
      <c r="AN341" s="13"/>
    </row>
    <row r="342" spans="1:40" x14ac:dyDescent="0.25">
      <c r="A342" s="44"/>
      <c r="B342" s="9">
        <v>44170</v>
      </c>
      <c r="C342" s="14" t="s">
        <v>37</v>
      </c>
      <c r="D342" s="11" t="s">
        <v>38</v>
      </c>
      <c r="E342" s="12">
        <v>521</v>
      </c>
      <c r="F342" s="15" t="s">
        <v>20</v>
      </c>
      <c r="AJ342" s="9"/>
      <c r="AK342" s="14"/>
      <c r="AL342" s="11"/>
      <c r="AM342" s="12"/>
      <c r="AN342" s="15"/>
    </row>
    <row r="343" spans="1:40" x14ac:dyDescent="0.25">
      <c r="A343" s="44"/>
      <c r="B343" s="9">
        <v>44171</v>
      </c>
      <c r="C343" s="14" t="s">
        <v>40</v>
      </c>
      <c r="D343" s="11" t="s">
        <v>41</v>
      </c>
      <c r="E343" s="12">
        <v>468</v>
      </c>
      <c r="F343" s="15" t="s">
        <v>20</v>
      </c>
      <c r="AJ343" s="9"/>
      <c r="AK343" s="14"/>
      <c r="AL343" s="11"/>
      <c r="AM343" s="12"/>
      <c r="AN343" s="15"/>
    </row>
    <row r="344" spans="1:40" x14ac:dyDescent="0.25">
      <c r="A344" s="44"/>
      <c r="B344" s="9">
        <v>44172</v>
      </c>
      <c r="C344" s="14" t="s">
        <v>43</v>
      </c>
      <c r="D344" s="11" t="s">
        <v>44</v>
      </c>
      <c r="E344" s="12">
        <v>543</v>
      </c>
      <c r="F344" s="15" t="s">
        <v>20</v>
      </c>
      <c r="AJ344" s="9"/>
      <c r="AK344" s="14"/>
      <c r="AL344" s="11"/>
      <c r="AM344" s="12"/>
      <c r="AN344" s="15"/>
    </row>
    <row r="345" spans="1:40" x14ac:dyDescent="0.25">
      <c r="A345" s="44"/>
      <c r="B345" s="9">
        <v>44173</v>
      </c>
      <c r="C345" s="14" t="s">
        <v>46</v>
      </c>
      <c r="D345" s="11" t="s">
        <v>47</v>
      </c>
      <c r="E345" s="12">
        <v>488</v>
      </c>
      <c r="F345" s="15" t="s">
        <v>20</v>
      </c>
      <c r="AJ345" s="9"/>
      <c r="AK345" s="14"/>
      <c r="AL345" s="11"/>
      <c r="AM345" s="12"/>
      <c r="AN345" s="15"/>
    </row>
    <row r="346" spans="1:40" x14ac:dyDescent="0.25">
      <c r="A346" s="44"/>
      <c r="B346" s="9">
        <v>44174</v>
      </c>
      <c r="C346" s="14" t="s">
        <v>49</v>
      </c>
      <c r="D346" s="11" t="s">
        <v>50</v>
      </c>
      <c r="E346" s="12">
        <v>564</v>
      </c>
      <c r="F346" s="15" t="s">
        <v>20</v>
      </c>
      <c r="AJ346" s="9"/>
      <c r="AK346" s="14"/>
      <c r="AL346" s="11"/>
      <c r="AM346" s="12"/>
      <c r="AN346" s="15"/>
    </row>
    <row r="347" spans="1:40" x14ac:dyDescent="0.25">
      <c r="A347" s="44"/>
      <c r="B347" s="9">
        <v>44175</v>
      </c>
      <c r="C347" s="14" t="s">
        <v>52</v>
      </c>
      <c r="D347" s="11" t="s">
        <v>53</v>
      </c>
      <c r="E347" s="12">
        <v>463</v>
      </c>
      <c r="F347" s="15" t="s">
        <v>20</v>
      </c>
      <c r="AJ347" s="9"/>
      <c r="AK347" s="14"/>
      <c r="AL347" s="11"/>
      <c r="AM347" s="12"/>
      <c r="AN347" s="15"/>
    </row>
    <row r="348" spans="1:40" x14ac:dyDescent="0.25">
      <c r="A348" s="44"/>
      <c r="B348" s="9">
        <v>44176</v>
      </c>
      <c r="C348" s="10" t="s">
        <v>12</v>
      </c>
      <c r="D348" s="11" t="s">
        <v>63</v>
      </c>
      <c r="E348" s="12">
        <v>2540</v>
      </c>
      <c r="F348" s="13" t="s">
        <v>11</v>
      </c>
      <c r="AJ348" s="9"/>
      <c r="AK348" s="10"/>
      <c r="AL348" s="11"/>
      <c r="AM348" s="12"/>
      <c r="AN348" s="13"/>
    </row>
    <row r="349" spans="1:40" x14ac:dyDescent="0.25">
      <c r="A349" s="44"/>
      <c r="B349" s="9">
        <v>44177</v>
      </c>
      <c r="C349" s="10" t="s">
        <v>15</v>
      </c>
      <c r="D349" s="11" t="s">
        <v>133</v>
      </c>
      <c r="E349" s="12">
        <v>3984</v>
      </c>
      <c r="F349" s="13" t="s">
        <v>11</v>
      </c>
      <c r="AJ349" s="9"/>
      <c r="AK349" s="10"/>
      <c r="AL349" s="11"/>
      <c r="AM349" s="12"/>
      <c r="AN349" s="13"/>
    </row>
    <row r="350" spans="1:40" x14ac:dyDescent="0.25">
      <c r="A350" s="44"/>
      <c r="B350" s="9">
        <v>44178</v>
      </c>
      <c r="C350" s="10" t="s">
        <v>18</v>
      </c>
      <c r="D350" s="11" t="s">
        <v>19</v>
      </c>
      <c r="E350" s="12">
        <v>4928</v>
      </c>
      <c r="F350" s="13" t="s">
        <v>11</v>
      </c>
      <c r="AJ350" s="9"/>
      <c r="AK350" s="10"/>
      <c r="AL350" s="11"/>
      <c r="AM350" s="12"/>
      <c r="AN350" s="13"/>
    </row>
    <row r="351" spans="1:40" x14ac:dyDescent="0.25">
      <c r="A351" s="44"/>
      <c r="B351" s="9">
        <v>44179</v>
      </c>
      <c r="C351" s="10" t="s">
        <v>21</v>
      </c>
      <c r="D351" s="11" t="s">
        <v>22</v>
      </c>
      <c r="E351" s="12">
        <v>732</v>
      </c>
      <c r="F351" s="13" t="s">
        <v>11</v>
      </c>
      <c r="AJ351" s="9"/>
      <c r="AK351" s="10"/>
      <c r="AL351" s="11"/>
      <c r="AM351" s="12"/>
      <c r="AN351" s="13"/>
    </row>
    <row r="352" spans="1:40" x14ac:dyDescent="0.25">
      <c r="A352" s="44"/>
      <c r="B352" s="9">
        <v>44180</v>
      </c>
      <c r="C352" s="10" t="s">
        <v>24</v>
      </c>
      <c r="D352" s="11" t="s">
        <v>134</v>
      </c>
      <c r="E352" s="12">
        <v>1509</v>
      </c>
      <c r="F352" s="13" t="s">
        <v>14</v>
      </c>
      <c r="AJ352" s="9"/>
      <c r="AK352" s="10"/>
      <c r="AL352" s="11"/>
      <c r="AM352" s="12"/>
      <c r="AN352" s="13"/>
    </row>
    <row r="353" spans="1:40" x14ac:dyDescent="0.25">
      <c r="A353" s="44"/>
      <c r="B353" s="9">
        <v>44181</v>
      </c>
      <c r="C353" s="10" t="s">
        <v>26</v>
      </c>
      <c r="D353" s="11" t="s">
        <v>135</v>
      </c>
      <c r="E353" s="12">
        <v>1773</v>
      </c>
      <c r="F353" s="13" t="s">
        <v>14</v>
      </c>
      <c r="AJ353" s="9"/>
      <c r="AK353" s="10"/>
      <c r="AL353" s="11"/>
      <c r="AM353" s="12"/>
      <c r="AN353" s="13"/>
    </row>
    <row r="354" spans="1:40" x14ac:dyDescent="0.25">
      <c r="A354" s="44"/>
      <c r="B354" s="9">
        <v>44182</v>
      </c>
      <c r="C354" s="10" t="s">
        <v>28</v>
      </c>
      <c r="D354" s="11" t="s">
        <v>29</v>
      </c>
      <c r="E354" s="12">
        <v>848</v>
      </c>
      <c r="F354" s="13" t="s">
        <v>14</v>
      </c>
      <c r="AJ354" s="9"/>
      <c r="AK354" s="10"/>
      <c r="AL354" s="11"/>
      <c r="AM354" s="12"/>
      <c r="AN354" s="13"/>
    </row>
    <row r="355" spans="1:40" x14ac:dyDescent="0.25">
      <c r="A355" s="44"/>
      <c r="B355" s="9">
        <v>44183</v>
      </c>
      <c r="C355" s="10" t="s">
        <v>31</v>
      </c>
      <c r="D355" s="11" t="s">
        <v>136</v>
      </c>
      <c r="E355" s="12">
        <v>1922</v>
      </c>
      <c r="F355" s="13" t="s">
        <v>20</v>
      </c>
      <c r="AJ355" s="9"/>
      <c r="AK355" s="10"/>
      <c r="AL355" s="11"/>
      <c r="AM355" s="12"/>
      <c r="AN355" s="13"/>
    </row>
    <row r="356" spans="1:40" x14ac:dyDescent="0.25">
      <c r="A356" s="44"/>
      <c r="B356" s="9">
        <v>44184</v>
      </c>
      <c r="C356" s="10" t="s">
        <v>34</v>
      </c>
      <c r="D356" s="11" t="s">
        <v>35</v>
      </c>
      <c r="E356" s="12">
        <v>1686</v>
      </c>
      <c r="F356" s="13" t="s">
        <v>20</v>
      </c>
      <c r="AJ356" s="9"/>
      <c r="AK356" s="10"/>
      <c r="AL356" s="11"/>
      <c r="AM356" s="12"/>
      <c r="AN356" s="13"/>
    </row>
    <row r="357" spans="1:40" x14ac:dyDescent="0.25">
      <c r="A357" s="44"/>
      <c r="B357" s="9">
        <v>44185</v>
      </c>
      <c r="C357" s="14" t="s">
        <v>37</v>
      </c>
      <c r="D357" s="11" t="s">
        <v>38</v>
      </c>
      <c r="E357" s="12">
        <v>1019</v>
      </c>
      <c r="F357" s="15" t="s">
        <v>20</v>
      </c>
      <c r="AJ357" s="9"/>
      <c r="AK357" s="14"/>
      <c r="AL357" s="11"/>
      <c r="AM357" s="12"/>
      <c r="AN357" s="15"/>
    </row>
    <row r="358" spans="1:40" x14ac:dyDescent="0.25">
      <c r="A358" s="44"/>
      <c r="B358" s="9">
        <v>44186</v>
      </c>
      <c r="C358" s="14" t="s">
        <v>40</v>
      </c>
      <c r="D358" s="11" t="s">
        <v>41</v>
      </c>
      <c r="E358" s="12">
        <v>132</v>
      </c>
      <c r="F358" s="15" t="s">
        <v>20</v>
      </c>
      <c r="AJ358" s="9"/>
      <c r="AK358" s="14"/>
      <c r="AL358" s="11"/>
      <c r="AM358" s="12"/>
      <c r="AN358" s="15"/>
    </row>
    <row r="359" spans="1:40" x14ac:dyDescent="0.25">
      <c r="A359" s="44"/>
      <c r="B359" s="9">
        <v>44187</v>
      </c>
      <c r="C359" s="14" t="s">
        <v>43</v>
      </c>
      <c r="D359" s="11" t="s">
        <v>44</v>
      </c>
      <c r="E359" s="12">
        <v>1480</v>
      </c>
      <c r="F359" s="15" t="s">
        <v>20</v>
      </c>
      <c r="AJ359" s="9"/>
      <c r="AK359" s="14"/>
      <c r="AL359" s="11"/>
      <c r="AM359" s="12"/>
      <c r="AN359" s="15"/>
    </row>
    <row r="360" spans="1:40" x14ac:dyDescent="0.25">
      <c r="A360" s="44"/>
      <c r="B360" s="9">
        <v>44188</v>
      </c>
      <c r="C360" s="14" t="s">
        <v>46</v>
      </c>
      <c r="D360" s="11" t="s">
        <v>47</v>
      </c>
      <c r="E360" s="12">
        <v>497</v>
      </c>
      <c r="F360" s="15" t="s">
        <v>20</v>
      </c>
      <c r="AJ360" s="9"/>
      <c r="AK360" s="14"/>
      <c r="AL360" s="11"/>
      <c r="AM360" s="12"/>
      <c r="AN360" s="15"/>
    </row>
    <row r="361" spans="1:40" x14ac:dyDescent="0.25">
      <c r="A361" s="44"/>
      <c r="B361" s="9">
        <v>44189</v>
      </c>
      <c r="C361" s="14" t="s">
        <v>49</v>
      </c>
      <c r="D361" s="11" t="s">
        <v>50</v>
      </c>
      <c r="E361" s="12">
        <v>1023</v>
      </c>
      <c r="F361" s="15" t="s">
        <v>20</v>
      </c>
      <c r="AJ361" s="9"/>
      <c r="AK361" s="14"/>
      <c r="AL361" s="11"/>
      <c r="AM361" s="12"/>
      <c r="AN361" s="15"/>
    </row>
    <row r="362" spans="1:40" x14ac:dyDescent="0.25">
      <c r="A362" s="44"/>
      <c r="B362" s="9">
        <v>44190</v>
      </c>
      <c r="C362" s="14" t="s">
        <v>52</v>
      </c>
      <c r="D362" s="11" t="s">
        <v>53</v>
      </c>
      <c r="E362" s="12">
        <v>1197</v>
      </c>
      <c r="F362" s="15" t="s">
        <v>20</v>
      </c>
      <c r="AJ362" s="9"/>
      <c r="AK362" s="14"/>
      <c r="AL362" s="11"/>
      <c r="AM362" s="12"/>
      <c r="AN362" s="15"/>
    </row>
    <row r="363" spans="1:40" x14ac:dyDescent="0.25">
      <c r="A363" s="44"/>
      <c r="B363" s="9">
        <v>44191</v>
      </c>
      <c r="C363" s="10" t="s">
        <v>12</v>
      </c>
      <c r="D363" s="11" t="s">
        <v>64</v>
      </c>
      <c r="E363" s="12">
        <v>1091</v>
      </c>
      <c r="F363" s="13" t="s">
        <v>11</v>
      </c>
      <c r="AJ363" s="9"/>
      <c r="AK363" s="10"/>
      <c r="AL363" s="11"/>
      <c r="AM363" s="12"/>
      <c r="AN363" s="13"/>
    </row>
    <row r="364" spans="1:40" x14ac:dyDescent="0.25">
      <c r="A364" s="44"/>
      <c r="B364" s="9">
        <v>44192</v>
      </c>
      <c r="C364" s="10" t="s">
        <v>15</v>
      </c>
      <c r="D364" s="11" t="s">
        <v>137</v>
      </c>
      <c r="E364" s="12">
        <v>3945</v>
      </c>
      <c r="F364" s="13" t="s">
        <v>11</v>
      </c>
      <c r="AJ364" s="9"/>
      <c r="AK364" s="10"/>
      <c r="AL364" s="11"/>
      <c r="AM364" s="12"/>
      <c r="AN364" s="13"/>
    </row>
    <row r="365" spans="1:40" x14ac:dyDescent="0.25">
      <c r="A365" s="44"/>
      <c r="B365" s="9">
        <v>44193</v>
      </c>
      <c r="C365" s="10" t="s">
        <v>18</v>
      </c>
      <c r="D365" s="11" t="s">
        <v>19</v>
      </c>
      <c r="E365" s="12">
        <v>2810</v>
      </c>
      <c r="F365" s="13" t="s">
        <v>11</v>
      </c>
      <c r="AJ365" s="9"/>
      <c r="AK365" s="10"/>
      <c r="AL365" s="11"/>
      <c r="AM365" s="12"/>
      <c r="AN365" s="13"/>
    </row>
    <row r="366" spans="1:40" x14ac:dyDescent="0.25">
      <c r="A366" s="44"/>
      <c r="B366" s="9">
        <v>44194</v>
      </c>
      <c r="C366" s="10" t="s">
        <v>21</v>
      </c>
      <c r="D366" s="11" t="s">
        <v>22</v>
      </c>
      <c r="E366" s="12">
        <v>1266</v>
      </c>
      <c r="F366" s="13" t="s">
        <v>11</v>
      </c>
      <c r="AJ366" s="9"/>
      <c r="AK366" s="10"/>
      <c r="AL366" s="11"/>
      <c r="AM366" s="12"/>
      <c r="AN366" s="13"/>
    </row>
    <row r="367" spans="1:40" ht="15.75" thickBot="1" x14ac:dyDescent="0.3">
      <c r="A367" s="44"/>
      <c r="B367" s="17">
        <v>44195</v>
      </c>
      <c r="C367" s="18" t="s">
        <v>24</v>
      </c>
      <c r="D367" s="19" t="s">
        <v>138</v>
      </c>
      <c r="E367" s="20">
        <v>291</v>
      </c>
      <c r="F367" s="21" t="s">
        <v>14</v>
      </c>
      <c r="AJ367" s="17"/>
      <c r="AK367" s="18"/>
      <c r="AL367" s="19"/>
      <c r="AM367" s="20"/>
      <c r="AN367" s="21"/>
    </row>
  </sheetData>
  <mergeCells count="7">
    <mergeCell ref="L22:N22"/>
    <mergeCell ref="AA1:AC1"/>
    <mergeCell ref="AP1:AR1"/>
    <mergeCell ref="B1:F1"/>
    <mergeCell ref="L1:N1"/>
    <mergeCell ref="P1:Q1"/>
    <mergeCell ref="AJ1:AN1"/>
  </mergeCells>
  <conditionalFormatting sqref="B3:F367">
    <cfRule type="expression" dxfId="7" priority="4">
      <formula>AND($B$3&lt;&gt;"",MOD(ROW(),2)=0)</formula>
    </cfRule>
  </conditionalFormatting>
  <conditionalFormatting sqref="L3:N17 L23:M23">
    <cfRule type="expression" dxfId="6" priority="3">
      <formula>AND($L3&lt;&gt;"",MOD(ROW(),2)=0)</formula>
    </cfRule>
  </conditionalFormatting>
  <conditionalFormatting sqref="L24:N29">
    <cfRule type="expression" dxfId="5" priority="2">
      <formula>AND($L24&lt;&gt;"",MOD(ROW(),2)=0)</formula>
    </cfRule>
  </conditionalFormatting>
  <conditionalFormatting sqref="L30:N30">
    <cfRule type="expression" dxfId="4" priority="1">
      <formula>AND($L30&lt;&gt;"",MOD(ROW(),2)=0)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9</vt:i4>
      </vt:variant>
    </vt:vector>
  </HeadingPairs>
  <TitlesOfParts>
    <vt:vector size="11" baseType="lpstr">
      <vt:lpstr>Income Statement</vt:lpstr>
      <vt:lpstr>Transactions</vt:lpstr>
      <vt:lpstr>Transactions!Criteria</vt:lpstr>
      <vt:lpstr>DateRange</vt:lpstr>
      <vt:lpstr>Transactions!Extract</vt:lpstr>
      <vt:lpstr>GrossProfit</vt:lpstr>
      <vt:lpstr>NetProfit</vt:lpstr>
      <vt:lpstr>'Income Statement'!Print_Area</vt:lpstr>
      <vt:lpstr>TotCOGS</vt:lpstr>
      <vt:lpstr>TotExpenses</vt:lpstr>
      <vt:lpstr>TotIncome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Randy Austin</dc:creator>
  <cp:lastModifiedBy>Randy Austin</cp:lastModifiedBy>
  <cp:lastPrinted>2020-11-21T13:18:22Z</cp:lastPrinted>
  <dcterms:created xsi:type="dcterms:W3CDTF">2019-02-09T08:49:23Z</dcterms:created>
  <dcterms:modified xsi:type="dcterms:W3CDTF">2020-11-22T04:28:25Z</dcterms:modified>
</cp:coreProperties>
</file>