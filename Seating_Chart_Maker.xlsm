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7795" windowHeight="14130" tabRatio="533" activeTab="1"/>
  </bookViews>
  <sheets>
    <sheet name="Admin &amp; Lists" sheetId="2" r:id="rId1"/>
    <sheet name="Seating Chart" sheetId="1" r:id="rId2"/>
    <sheet name="Events List" sheetId="3" r:id="rId3"/>
    <sheet name="Event Tables List" sheetId="4" r:id="rId4"/>
    <sheet name="Event Guest List" sheetId="5" r:id="rId5"/>
  </sheets>
  <definedNames>
    <definedName name="_xlnm._FilterDatabase" localSheetId="4" hidden="1">'Event Guest List'!$A$2:$D$6</definedName>
    <definedName name="_xlnm._FilterDatabase" localSheetId="3" hidden="1">'Event Tables List'!$A$2:$B$11</definedName>
    <definedName name="_xlnm._FilterDatabase" localSheetId="2" hidden="1">'Events List'!$A$2:$D$7</definedName>
    <definedName name="Circle">'Admin &amp; Lists'!$L$5:$L$9</definedName>
    <definedName name="_xlnm.Criteria" localSheetId="4">'Event Guest List'!$I$1:$J$2</definedName>
    <definedName name="_xlnm.Criteria" localSheetId="3">'Event Tables List'!$H$2:$H$3</definedName>
    <definedName name="Events_EventID">OFFSET('Events List'!$A$2,1,,COUNTA('Events List'!$A$2:$A$9999)-1,1)</definedName>
    <definedName name="Events_EventNames">OFFSET('Events List'!$B$2,1,,COUNTA('Events List'!$A$2:$A$9999)-1,1)</definedName>
    <definedName name="EventTable_EventID">OFFSET('Event Tables List'!$A$2,1,,COUNTA('Event Tables List'!$A$2:$A$999)-1,1)</definedName>
    <definedName name="EventTable_TableNumb">OFFSET('Event Tables List'!$B$2,1,,COUNTA('Event Tables List'!$A$2:$A$999)-1,1)</definedName>
    <definedName name="_xlnm.Extract" localSheetId="4">'Event Guest List'!$L$2:$M$2</definedName>
    <definedName name="_xlnm.Extract" localSheetId="3">'Event Tables List'!$J$2</definedName>
    <definedName name="_xlnm.Extract" localSheetId="2">'Events List'!$G$2:$H$2</definedName>
    <definedName name="GuestList_EventID">OFFSET('Event Guest List'!$A$2,1,,COUNTA('Event Guest List'!$A$2:$A$9996)-1,1)</definedName>
    <definedName name="GuestList_SeatNumb">OFFSET('Event Guest List'!$C$2,1,,COUNTA('Event Guest List'!$A$2:$A$9996)-1,1)</definedName>
    <definedName name="GuestList_TableNumb">OFFSET('Event Guest List'!$B$2,1,,COUNTA('Event Guest List'!$A$2:$A$9996)-1,1)</definedName>
    <definedName name="Rectangle">'Admin &amp; Lists'!$K$5:$K$8</definedName>
    <definedName name="Square">'Admin &amp; Lists'!$M$5:$M$8</definedName>
    <definedName name="TableNumbers">OFFSET('Admin &amp; Lists'!$C$4,1,,COUNTA('Admin &amp; Lists'!$C$4:$C$999)-1,1)</definedName>
    <definedName name="TableTypes">'Admin &amp; Lists'!$A$4:$A$6</definedName>
  </definedNames>
  <calcPr calcId="145621"/>
</workbook>
</file>

<file path=xl/calcChain.xml><?xml version="1.0" encoding="utf-8"?>
<calcChain xmlns="http://schemas.openxmlformats.org/spreadsheetml/2006/main">
  <c r="J5" i="1" l="1"/>
  <c r="B16" i="1"/>
  <c r="B11" i="1"/>
  <c r="B9" i="1"/>
  <c r="B6" i="1"/>
  <c r="B5" i="1"/>
  <c r="B4" i="1"/>
  <c r="P3" i="1"/>
  <c r="B13" i="1"/>
  <c r="H3" i="4" l="1"/>
  <c r="J2" i="5"/>
  <c r="I2" i="5"/>
  <c r="B10" i="1" l="1"/>
</calcChain>
</file>

<file path=xl/sharedStrings.xml><?xml version="1.0" encoding="utf-8"?>
<sst xmlns="http://schemas.openxmlformats.org/spreadsheetml/2006/main" count="131" uniqueCount="76">
  <si>
    <t>SEATING CHART MAKER</t>
  </si>
  <si>
    <t>Rectangle</t>
  </si>
  <si>
    <t>Square</t>
  </si>
  <si>
    <t>Circle</t>
  </si>
  <si>
    <t>Table #</t>
  </si>
  <si>
    <t>Table Type</t>
  </si>
  <si>
    <t>ADD TABLE</t>
  </si>
  <si>
    <t>Add Mode</t>
  </si>
  <si>
    <t>Date</t>
  </si>
  <si>
    <t>EVENTS &amp; SEATINGS</t>
  </si>
  <si>
    <t>TABLE DETAILS</t>
  </si>
  <si>
    <t>Seating Time</t>
  </si>
  <si>
    <t>Seat #</t>
  </si>
  <si>
    <t>Open Tables</t>
  </si>
  <si>
    <t>Table Notes</t>
  </si>
  <si>
    <t>Event Date:</t>
  </si>
  <si>
    <t>Seating/Event Name</t>
  </si>
  <si>
    <t>Event ID</t>
  </si>
  <si>
    <t># of seats</t>
  </si>
  <si>
    <t>Table List</t>
  </si>
  <si>
    <t>Reserv./Table</t>
  </si>
  <si>
    <t>Guest Name</t>
  </si>
  <si>
    <t># of Seats</t>
  </si>
  <si>
    <t>Next Table #</t>
  </si>
  <si>
    <t>Add Guests</t>
  </si>
  <si>
    <t>Customize Mode</t>
  </si>
  <si>
    <t>Add Button Text</t>
  </si>
  <si>
    <t>Table Types</t>
  </si>
  <si>
    <t>Table Types &amp; Seats</t>
  </si>
  <si>
    <t>Sel. Event ID</t>
  </si>
  <si>
    <t>Sel. Event Row</t>
  </si>
  <si>
    <t>Event/Seating Name</t>
  </si>
  <si>
    <t>Next Event ID</t>
  </si>
  <si>
    <t>Fredders Wedding</t>
  </si>
  <si>
    <t>Notes</t>
  </si>
  <si>
    <t>Event Table List</t>
  </si>
  <si>
    <t>Johnson</t>
  </si>
  <si>
    <t>Event Table Row</t>
  </si>
  <si>
    <t>Table Guest List</t>
  </si>
  <si>
    <t>Next Seat #</t>
  </si>
  <si>
    <t>Lisa's Fredders Wedding</t>
  </si>
  <si>
    <t>Events List</t>
  </si>
  <si>
    <t>Event Name</t>
  </si>
  <si>
    <t>Events Guest List</t>
  </si>
  <si>
    <t>RESULTS</t>
  </si>
  <si>
    <t>John James</t>
  </si>
  <si>
    <t>Event Results</t>
  </si>
  <si>
    <t>Sel Event Row</t>
  </si>
  <si>
    <t>Criteria</t>
  </si>
  <si>
    <t>Results</t>
  </si>
  <si>
    <t>John Johnson wants red wine</t>
  </si>
  <si>
    <t>Baily's B-Day Party</t>
  </si>
  <si>
    <t>Fred Baily's Birthday</t>
  </si>
  <si>
    <t>Total Table Guests</t>
  </si>
  <si>
    <t>Sel. Guest Row</t>
  </si>
  <si>
    <t>Guest List DB Row</t>
  </si>
  <si>
    <t>Sel. Guest Seat #</t>
  </si>
  <si>
    <t>2nd Seating</t>
  </si>
  <si>
    <t>Fredderson Party</t>
  </si>
  <si>
    <t>1st Dinner Service</t>
  </si>
  <si>
    <t>6PM Dinner 1-15</t>
  </si>
  <si>
    <t>8PM Dinner 1-15</t>
  </si>
  <si>
    <t xml:space="preserve">8pm </t>
  </si>
  <si>
    <t>Kims B-Day</t>
  </si>
  <si>
    <t>Party of 12 for Kim's B-Day</t>
  </si>
  <si>
    <t>Fred</t>
  </si>
  <si>
    <t>Fred Notes</t>
  </si>
  <si>
    <t>Wedding Dress Nice</t>
  </si>
  <si>
    <t>Fred Fredders</t>
  </si>
  <si>
    <t>Type</t>
  </si>
  <si>
    <t>Seat</t>
  </si>
  <si>
    <t>Debby Wedding</t>
  </si>
  <si>
    <t>Fredders Fredstine</t>
  </si>
  <si>
    <t>Test Notes</t>
  </si>
  <si>
    <t>Frank</t>
  </si>
  <si>
    <t>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</si>
</sst>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[$-F400]h:mm:ss\ AM/PM"/>
  </numFmts>
  <fonts count="8" x14ac:knownFonts="1">
    <font>
      <sz val="11"/>
      <color theme="1"/>
      <name val="Calibri"/>
      <family val="2"/>
      <scheme val="minor"/>
    </font>
    <font>
      <sz val="30"/>
      <color rgb="FF0070C0"/>
      <name val="Arial Rounded MT Bold"/>
      <family val="2"/>
    </font>
    <font>
      <b/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u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gradientFill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gradientFill degree="27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double">
        <color rgb="FF0070C0"/>
      </right>
      <top/>
      <bottom/>
      <diagonal/>
    </border>
    <border>
      <left style="double">
        <color rgb="FF0070C0"/>
      </left>
      <right/>
      <top/>
      <bottom/>
      <diagonal/>
    </border>
    <border>
      <left style="double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double">
        <color rgb="FF0070C0"/>
      </right>
      <top/>
      <bottom/>
      <diagonal/>
    </border>
    <border>
      <left style="double">
        <color rgb="FF0070C0"/>
      </left>
      <right/>
      <top style="double">
        <color rgb="FF0070C0"/>
      </top>
      <bottom style="thin">
        <color rgb="FF0070C0"/>
      </bottom>
      <diagonal/>
    </border>
    <border>
      <left/>
      <right/>
      <top style="double">
        <color rgb="FF0070C0"/>
      </top>
      <bottom style="thin">
        <color rgb="FF0070C0"/>
      </bottom>
      <diagonal/>
    </border>
    <border>
      <left/>
      <right style="double">
        <color rgb="FF0070C0"/>
      </right>
      <top style="double">
        <color rgb="FF0070C0"/>
      </top>
      <bottom style="thin">
        <color rgb="FF0070C0"/>
      </bottom>
      <diagonal/>
    </border>
    <border>
      <left style="double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double">
        <color rgb="FF0070C0"/>
      </right>
      <top style="thin">
        <color rgb="FF0070C0"/>
      </top>
      <bottom style="thin">
        <color rgb="FF0070C0"/>
      </bottom>
      <diagonal/>
    </border>
    <border>
      <left style="double">
        <color rgb="FF0070C0"/>
      </left>
      <right/>
      <top style="thin">
        <color rgb="FF0070C0"/>
      </top>
      <bottom style="hair">
        <color rgb="FF0070C0"/>
      </bottom>
      <diagonal/>
    </border>
    <border>
      <left/>
      <right style="double">
        <color rgb="FF0070C0"/>
      </right>
      <top style="thin">
        <color rgb="FF0070C0"/>
      </top>
      <bottom style="hair">
        <color rgb="FF0070C0"/>
      </bottom>
      <diagonal/>
    </border>
    <border>
      <left style="hair">
        <color rgb="FF0070C0"/>
      </left>
      <right/>
      <top style="thin">
        <color rgb="FF0070C0"/>
      </top>
      <bottom style="thin">
        <color rgb="FF0070C0"/>
      </bottom>
      <diagonal/>
    </border>
    <border>
      <left style="double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double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double">
        <color rgb="FF0070C0"/>
      </right>
      <top/>
      <bottom style="thin">
        <color rgb="FF0070C0"/>
      </bottom>
      <diagonal/>
    </border>
    <border>
      <left style="double">
        <color rgb="FF0070C0"/>
      </left>
      <right style="hair">
        <color rgb="FF0070C0"/>
      </right>
      <top/>
      <bottom style="thin">
        <color rgb="FF0070C0"/>
      </bottom>
      <diagonal/>
    </border>
    <border>
      <left style="hair">
        <color rgb="FF0070C0"/>
      </left>
      <right style="double">
        <color rgb="FF0070C0"/>
      </right>
      <top/>
      <bottom style="thin">
        <color rgb="FF0070C0"/>
      </bottom>
      <diagonal/>
    </border>
    <border>
      <left style="double">
        <color rgb="FF0070C0"/>
      </left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/>
      <right style="thin">
        <color rgb="FF0070C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/>
      <top/>
      <bottom/>
      <diagonal/>
    </border>
    <border>
      <left style="double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 style="double">
        <color rgb="FF0070C0"/>
      </right>
      <top style="thin">
        <color rgb="FF0070C0"/>
      </top>
      <bottom style="thin">
        <color rgb="FF0070C0"/>
      </bottom>
      <diagonal/>
    </border>
    <border>
      <left style="double">
        <color rgb="FF0070C0"/>
      </left>
      <right/>
      <top style="hair">
        <color rgb="FF0070C0"/>
      </top>
      <bottom/>
      <diagonal/>
    </border>
    <border>
      <left/>
      <right style="double">
        <color rgb="FF0070C0"/>
      </right>
      <top style="hair">
        <color rgb="FF0070C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2" xfId="0" applyFill="1" applyBorder="1"/>
    <xf numFmtId="0" fontId="0" fillId="5" borderId="0" xfId="0" applyFill="1" applyBorder="1"/>
    <xf numFmtId="0" fontId="0" fillId="5" borderId="3" xfId="0" applyFill="1" applyBorder="1"/>
    <xf numFmtId="0" fontId="0" fillId="5" borderId="1" xfId="0" applyFill="1" applyBorder="1" applyAlignment="1">
      <alignment horizontal="right"/>
    </xf>
    <xf numFmtId="0" fontId="0" fillId="0" borderId="0" xfId="0" applyAlignment="1">
      <alignment horizontal="center"/>
    </xf>
    <xf numFmtId="0" fontId="0" fillId="5" borderId="5" xfId="0" applyFill="1" applyBorder="1"/>
    <xf numFmtId="0" fontId="0" fillId="5" borderId="6" xfId="0" applyFill="1" applyBorder="1"/>
    <xf numFmtId="0" fontId="0" fillId="5" borderId="10" xfId="0" applyFill="1" applyBorder="1" applyAlignment="1">
      <alignment horizontal="right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right"/>
    </xf>
    <xf numFmtId="0" fontId="3" fillId="5" borderId="1" xfId="0" applyFont="1" applyFill="1" applyBorder="1"/>
    <xf numFmtId="0" fontId="3" fillId="7" borderId="14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6" xfId="0" applyFont="1" applyFill="1" applyBorder="1" applyAlignment="1">
      <alignment horizontal="center"/>
    </xf>
    <xf numFmtId="0" fontId="0" fillId="0" borderId="4" xfId="0" applyBorder="1"/>
    <xf numFmtId="0" fontId="0" fillId="6" borderId="17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0" borderId="21" xfId="0" applyBorder="1"/>
    <xf numFmtId="0" fontId="0" fillId="0" borderId="17" xfId="0" applyBorder="1"/>
    <xf numFmtId="0" fontId="0" fillId="3" borderId="23" xfId="0" applyFill="1" applyBorder="1"/>
    <xf numFmtId="0" fontId="0" fillId="4" borderId="23" xfId="0" applyFill="1" applyBorder="1"/>
    <xf numFmtId="0" fontId="0" fillId="0" borderId="23" xfId="0" applyBorder="1"/>
    <xf numFmtId="0" fontId="0" fillId="0" borderId="22" xfId="0" applyBorder="1"/>
    <xf numFmtId="0" fontId="0" fillId="5" borderId="22" xfId="0" applyFill="1" applyBorder="1"/>
    <xf numFmtId="0" fontId="0" fillId="8" borderId="24" xfId="0" applyFill="1" applyBorder="1"/>
    <xf numFmtId="0" fontId="0" fillId="7" borderId="2" xfId="0" applyFill="1" applyBorder="1" applyAlignment="1">
      <alignment horizontal="left"/>
    </xf>
    <xf numFmtId="0" fontId="0" fillId="8" borderId="24" xfId="0" applyFill="1" applyBorder="1" applyAlignment="1">
      <alignment horizontal="left"/>
    </xf>
    <xf numFmtId="0" fontId="0" fillId="8" borderId="24" xfId="0" applyFill="1" applyBorder="1" applyAlignment="1">
      <alignment horizontal="right"/>
    </xf>
    <xf numFmtId="0" fontId="0" fillId="5" borderId="24" xfId="0" applyFill="1" applyBorder="1" applyAlignment="1">
      <alignment horizontal="center"/>
    </xf>
    <xf numFmtId="0" fontId="0" fillId="0" borderId="24" xfId="0" applyBorder="1" applyAlignment="1">
      <alignment horizontal="center"/>
    </xf>
    <xf numFmtId="14" fontId="3" fillId="7" borderId="2" xfId="0" applyNumberFormat="1" applyFont="1" applyFill="1" applyBorder="1"/>
    <xf numFmtId="0" fontId="1" fillId="3" borderId="0" xfId="0" applyFont="1" applyFill="1" applyAlignment="1"/>
    <xf numFmtId="0" fontId="0" fillId="2" borderId="3" xfId="0" applyFill="1" applyBorder="1"/>
    <xf numFmtId="0" fontId="0" fillId="5" borderId="11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0" borderId="0" xfId="0" applyFill="1" applyBorder="1"/>
    <xf numFmtId="0" fontId="0" fillId="0" borderId="25" xfId="0" applyBorder="1"/>
    <xf numFmtId="0" fontId="0" fillId="11" borderId="24" xfId="0" applyFill="1" applyBorder="1" applyAlignment="1">
      <alignment horizontal="center"/>
    </xf>
    <xf numFmtId="18" fontId="0" fillId="7" borderId="11" xfId="0" applyNumberFormat="1" applyFill="1" applyBorder="1" applyAlignment="1">
      <alignment horizontal="left"/>
    </xf>
    <xf numFmtId="0" fontId="0" fillId="5" borderId="5" xfId="0" applyFill="1" applyBorder="1" applyAlignment="1">
      <alignment horizontal="center"/>
    </xf>
    <xf numFmtId="0" fontId="0" fillId="7" borderId="11" xfId="0" applyFill="1" applyBorder="1"/>
    <xf numFmtId="0" fontId="3" fillId="5" borderId="1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left"/>
    </xf>
    <xf numFmtId="0" fontId="0" fillId="14" borderId="24" xfId="0" applyFill="1" applyBorder="1" applyAlignment="1">
      <alignment horizontal="center"/>
    </xf>
    <xf numFmtId="0" fontId="0" fillId="16" borderId="24" xfId="0" applyFill="1" applyBorder="1" applyAlignment="1">
      <alignment horizontal="center"/>
    </xf>
    <xf numFmtId="14" fontId="0" fillId="0" borderId="0" xfId="0" applyNumberFormat="1"/>
    <xf numFmtId="14" fontId="0" fillId="5" borderId="6" xfId="0" applyNumberFormat="1" applyFill="1" applyBorder="1"/>
    <xf numFmtId="0" fontId="7" fillId="10" borderId="24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left" indent="3"/>
    </xf>
    <xf numFmtId="0" fontId="2" fillId="4" borderId="9" xfId="0" applyFont="1" applyFill="1" applyBorder="1" applyAlignment="1">
      <alignment horizontal="left" indent="3"/>
    </xf>
    <xf numFmtId="0" fontId="2" fillId="4" borderId="7" xfId="0" applyFont="1" applyFill="1" applyBorder="1" applyAlignment="1">
      <alignment horizontal="center"/>
    </xf>
    <xf numFmtId="0" fontId="0" fillId="7" borderId="28" xfId="0" applyFill="1" applyBorder="1" applyAlignment="1">
      <alignment horizontal="left" vertical="top" wrapText="1"/>
    </xf>
    <xf numFmtId="0" fontId="0" fillId="7" borderId="29" xfId="0" applyFill="1" applyBorder="1" applyAlignment="1">
      <alignment horizontal="left" vertical="top" wrapText="1"/>
    </xf>
    <xf numFmtId="0" fontId="0" fillId="7" borderId="21" xfId="0" applyFill="1" applyBorder="1" applyAlignment="1">
      <alignment horizontal="left" vertical="top" wrapText="1"/>
    </xf>
    <xf numFmtId="0" fontId="0" fillId="7" borderId="18" xfId="0" applyFill="1" applyBorder="1" applyAlignment="1">
      <alignment horizontal="left" vertical="top" wrapText="1"/>
    </xf>
    <xf numFmtId="0" fontId="5" fillId="5" borderId="12" xfId="0" applyFont="1" applyFill="1" applyBorder="1" applyAlignment="1">
      <alignment horizontal="center"/>
    </xf>
    <xf numFmtId="0" fontId="5" fillId="5" borderId="13" xfId="0" applyFont="1" applyFill="1" applyBorder="1" applyAlignment="1">
      <alignment horizontal="center"/>
    </xf>
    <xf numFmtId="0" fontId="4" fillId="12" borderId="26" xfId="0" applyFont="1" applyFill="1" applyBorder="1" applyAlignment="1">
      <alignment horizontal="center"/>
    </xf>
    <xf numFmtId="0" fontId="4" fillId="12" borderId="27" xfId="0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6" fillId="15" borderId="24" xfId="0" applyFont="1" applyFill="1" applyBorder="1" applyAlignment="1">
      <alignment horizontal="center"/>
    </xf>
    <xf numFmtId="0" fontId="0" fillId="10" borderId="24" xfId="0" applyFill="1" applyBorder="1" applyAlignment="1">
      <alignment horizontal="center"/>
    </xf>
    <xf numFmtId="0" fontId="6" fillId="13" borderId="24" xfId="0" applyFont="1" applyFill="1" applyBorder="1" applyAlignment="1">
      <alignment horizontal="center"/>
    </xf>
    <xf numFmtId="0" fontId="0" fillId="8" borderId="30" xfId="0" applyFill="1" applyBorder="1"/>
    <xf numFmtId="166" fontId="0" fillId="0" borderId="0" xfId="0" applyNumberFormat="1"/>
  </cellXfs>
  <cellStyles count="1">
    <cellStyle name="Normal" xfId="0" builtinId="0"/>
  </cellStyles>
  <dxfs count="9">
    <dxf>
      <fill>
        <gradientFill degree="90">
          <stop position="0">
            <color rgb="FFEEF3F8"/>
          </stop>
          <stop position="1">
            <color rgb="FFE0E9F4"/>
          </stop>
        </gradientFill>
      </fill>
    </dxf>
    <dxf>
      <fill>
        <patternFill>
          <bgColor theme="0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ont>
        <color theme="4" tint="0.79998168889431442"/>
      </font>
      <fill>
        <patternFill>
          <bgColor theme="4" tint="0.79998168889431442"/>
        </patternFill>
      </fill>
      <border>
        <left/>
        <right/>
        <bottom/>
        <vertical/>
        <horizontal/>
      </border>
    </dxf>
    <dxf>
      <fill>
        <patternFill>
          <bgColor rgb="FFEEF3F8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ont>
        <color theme="4" tint="0.79998168889431442"/>
      </font>
      <fill>
        <patternFill>
          <bgColor theme="4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fgColor auto="1"/>
          <bgColor rgb="FFE4ECF4"/>
        </patternFill>
      </fill>
    </dxf>
  </dxfs>
  <tableStyles count="0" defaultTableStyle="TableStyleMedium2" defaultPivotStyle="PivotStyleLight16"/>
  <colors>
    <mruColors>
      <color rgb="FFE4ECF4"/>
      <color rgb="FFE0E9F4"/>
      <color rgb="FF0000FF"/>
      <color rgb="FFEEF3F8"/>
      <color rgb="FF10253F"/>
      <color rgb="FF4F81BD"/>
      <color rgb="FF77933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10541</xdr:colOff>
      <xdr:row>8</xdr:row>
      <xdr:rowOff>83011</xdr:rowOff>
    </xdr:from>
    <xdr:to>
      <xdr:col>31</xdr:col>
      <xdr:colOff>606208</xdr:colOff>
      <xdr:row>11</xdr:row>
      <xdr:rowOff>34825</xdr:rowOff>
    </xdr:to>
    <xdr:grpSp>
      <xdr:nvGrpSpPr>
        <xdr:cNvPr id="22" name="Circle4"/>
        <xdr:cNvGrpSpPr/>
      </xdr:nvGrpSpPr>
      <xdr:grpSpPr>
        <a:xfrm>
          <a:off x="27633041" y="1940386"/>
          <a:ext cx="595667" cy="589989"/>
          <a:chOff x="7566487" y="1286914"/>
          <a:chExt cx="595940" cy="590550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51" name="Oval 50"/>
          <xdr:cNvSpPr/>
        </xdr:nvSpPr>
        <xdr:spPr>
          <a:xfrm>
            <a:off x="7765100" y="1286914"/>
            <a:ext cx="188270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52" name="InnerCircle4"/>
          <xdr:cNvSpPr/>
        </xdr:nvSpPr>
        <xdr:spPr>
          <a:xfrm>
            <a:off x="7721642" y="1439318"/>
            <a:ext cx="275186" cy="27432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4</a:t>
            </a:r>
          </a:p>
        </xdr:txBody>
      </xdr:sp>
      <xdr:sp macro="" textlink="">
        <xdr:nvSpPr>
          <xdr:cNvPr id="53" name="Oval 52"/>
          <xdr:cNvSpPr/>
        </xdr:nvSpPr>
        <xdr:spPr>
          <a:xfrm>
            <a:off x="7975023" y="1485038"/>
            <a:ext cx="187404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54" name="Oval 53"/>
          <xdr:cNvSpPr/>
        </xdr:nvSpPr>
        <xdr:spPr>
          <a:xfrm>
            <a:off x="7765100" y="1694584"/>
            <a:ext cx="188270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55" name="Oval 54"/>
          <xdr:cNvSpPr/>
        </xdr:nvSpPr>
        <xdr:spPr>
          <a:xfrm>
            <a:off x="7566487" y="1485038"/>
            <a:ext cx="187404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</xdr:grpSp>
    <xdr:clientData/>
  </xdr:twoCellAnchor>
  <xdr:twoCellAnchor editAs="oneCell">
    <xdr:from>
      <xdr:col>28</xdr:col>
      <xdr:colOff>553959</xdr:colOff>
      <xdr:row>8</xdr:row>
      <xdr:rowOff>59108</xdr:rowOff>
    </xdr:from>
    <xdr:to>
      <xdr:col>30</xdr:col>
      <xdr:colOff>26277</xdr:colOff>
      <xdr:row>11</xdr:row>
      <xdr:rowOff>58729</xdr:rowOff>
    </xdr:to>
    <xdr:grpSp>
      <xdr:nvGrpSpPr>
        <xdr:cNvPr id="7" name="Circle6"/>
        <xdr:cNvGrpSpPr/>
      </xdr:nvGrpSpPr>
      <xdr:grpSpPr>
        <a:xfrm>
          <a:off x="26347659" y="1916483"/>
          <a:ext cx="691518" cy="637796"/>
          <a:chOff x="6776935" y="1272544"/>
          <a:chExt cx="679029" cy="639157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43" name="InnerCircle6"/>
          <xdr:cNvSpPr/>
        </xdr:nvSpPr>
        <xdr:spPr>
          <a:xfrm>
            <a:off x="6934200" y="1407073"/>
            <a:ext cx="364447" cy="36576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6</a:t>
            </a:r>
          </a:p>
        </xdr:txBody>
      </xdr:sp>
      <xdr:sp macro="" textlink="">
        <xdr:nvSpPr>
          <xdr:cNvPr id="44" name="Oval 43"/>
          <xdr:cNvSpPr/>
        </xdr:nvSpPr>
        <xdr:spPr>
          <a:xfrm>
            <a:off x="7178040" y="1306830"/>
            <a:ext cx="187404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45" name="Oval 44"/>
          <xdr:cNvSpPr/>
        </xdr:nvSpPr>
        <xdr:spPr>
          <a:xfrm>
            <a:off x="7268560" y="1539766"/>
            <a:ext cx="187404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46" name="Oval 45"/>
          <xdr:cNvSpPr/>
        </xdr:nvSpPr>
        <xdr:spPr>
          <a:xfrm>
            <a:off x="7113137" y="1728821"/>
            <a:ext cx="186091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47" name="Oval 46"/>
          <xdr:cNvSpPr/>
        </xdr:nvSpPr>
        <xdr:spPr>
          <a:xfrm>
            <a:off x="6857209" y="1680343"/>
            <a:ext cx="187404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48" name="Oval 47"/>
          <xdr:cNvSpPr/>
        </xdr:nvSpPr>
        <xdr:spPr>
          <a:xfrm>
            <a:off x="6776935" y="1456605"/>
            <a:ext cx="187404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49" name="Oval 48"/>
          <xdr:cNvSpPr/>
        </xdr:nvSpPr>
        <xdr:spPr>
          <a:xfrm>
            <a:off x="6930385" y="1272544"/>
            <a:ext cx="187404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</xdr:grpSp>
    <xdr:clientData/>
  </xdr:twoCellAnchor>
  <xdr:twoCellAnchor editAs="oneCell">
    <xdr:from>
      <xdr:col>26</xdr:col>
      <xdr:colOff>315269</xdr:colOff>
      <xdr:row>7</xdr:row>
      <xdr:rowOff>145598</xdr:rowOff>
    </xdr:from>
    <xdr:to>
      <xdr:col>27</xdr:col>
      <xdr:colOff>569697</xdr:colOff>
      <xdr:row>11</xdr:row>
      <xdr:rowOff>162738</xdr:rowOff>
    </xdr:to>
    <xdr:grpSp>
      <xdr:nvGrpSpPr>
        <xdr:cNvPr id="6" name="Circle8"/>
        <xdr:cNvGrpSpPr/>
      </xdr:nvGrpSpPr>
      <xdr:grpSpPr>
        <a:xfrm>
          <a:off x="24889769" y="1812473"/>
          <a:ext cx="864028" cy="845815"/>
          <a:chOff x="5761409" y="1161869"/>
          <a:chExt cx="861082" cy="846376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32" name="InnerCircle8"/>
          <xdr:cNvSpPr/>
        </xdr:nvSpPr>
        <xdr:spPr>
          <a:xfrm>
            <a:off x="5914024" y="1308137"/>
            <a:ext cx="548640" cy="54864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8</a:t>
            </a:r>
          </a:p>
        </xdr:txBody>
      </xdr:sp>
      <xdr:sp macro="" textlink="">
        <xdr:nvSpPr>
          <xdr:cNvPr id="33" name="Oval 32"/>
          <xdr:cNvSpPr/>
        </xdr:nvSpPr>
        <xdr:spPr>
          <a:xfrm>
            <a:off x="6095128" y="1161869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35" name="Oval 34"/>
          <xdr:cNvSpPr/>
        </xdr:nvSpPr>
        <xdr:spPr>
          <a:xfrm>
            <a:off x="6095128" y="1825365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36" name="Oval 35"/>
          <xdr:cNvSpPr/>
        </xdr:nvSpPr>
        <xdr:spPr>
          <a:xfrm>
            <a:off x="6436058" y="1491017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37" name="Oval 36"/>
          <xdr:cNvSpPr/>
        </xdr:nvSpPr>
        <xdr:spPr>
          <a:xfrm>
            <a:off x="5761409" y="1491017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38" name="Oval 37"/>
          <xdr:cNvSpPr/>
        </xdr:nvSpPr>
        <xdr:spPr>
          <a:xfrm>
            <a:off x="5858052" y="1255727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39" name="Oval 38"/>
          <xdr:cNvSpPr/>
        </xdr:nvSpPr>
        <xdr:spPr>
          <a:xfrm>
            <a:off x="6331051" y="1259440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40" name="Oval 39"/>
          <xdr:cNvSpPr/>
        </xdr:nvSpPr>
        <xdr:spPr>
          <a:xfrm>
            <a:off x="6339417" y="1723144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41" name="Oval 40"/>
          <xdr:cNvSpPr/>
        </xdr:nvSpPr>
        <xdr:spPr>
          <a:xfrm>
            <a:off x="5864558" y="1726863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</xdr:grpSp>
    <xdr:clientData/>
  </xdr:twoCellAnchor>
  <xdr:twoCellAnchor editAs="oneCell">
    <xdr:from>
      <xdr:col>23</xdr:col>
      <xdr:colOff>501780</xdr:colOff>
      <xdr:row>7</xdr:row>
      <xdr:rowOff>73047</xdr:rowOff>
    </xdr:from>
    <xdr:to>
      <xdr:col>25</xdr:col>
      <xdr:colOff>331007</xdr:colOff>
      <xdr:row>12</xdr:row>
      <xdr:rowOff>44789</xdr:rowOff>
    </xdr:to>
    <xdr:grpSp>
      <xdr:nvGrpSpPr>
        <xdr:cNvPr id="5" name="Circle10"/>
        <xdr:cNvGrpSpPr/>
      </xdr:nvGrpSpPr>
      <xdr:grpSpPr>
        <a:xfrm>
          <a:off x="23247480" y="1739922"/>
          <a:ext cx="1048427" cy="990917"/>
          <a:chOff x="4516189" y="1192528"/>
          <a:chExt cx="1040429" cy="992278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20" name="InnerCircle10"/>
          <xdr:cNvSpPr/>
        </xdr:nvSpPr>
        <xdr:spPr>
          <a:xfrm>
            <a:off x="4674380" y="1323005"/>
            <a:ext cx="731520" cy="73152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10</a:t>
            </a:r>
          </a:p>
        </xdr:txBody>
      </xdr:sp>
      <xdr:sp macro="" textlink="">
        <xdr:nvSpPr>
          <xdr:cNvPr id="21" name="Oval 20"/>
          <xdr:cNvSpPr/>
        </xdr:nvSpPr>
        <xdr:spPr>
          <a:xfrm>
            <a:off x="4801472" y="1202750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23" name="Oval 22"/>
          <xdr:cNvSpPr/>
        </xdr:nvSpPr>
        <xdr:spPr>
          <a:xfrm>
            <a:off x="4596105" y="1355150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24" name="Oval 23"/>
          <xdr:cNvSpPr/>
        </xdr:nvSpPr>
        <xdr:spPr>
          <a:xfrm>
            <a:off x="4516189" y="1595830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25" name="Oval 24"/>
          <xdr:cNvSpPr/>
        </xdr:nvSpPr>
        <xdr:spPr>
          <a:xfrm>
            <a:off x="5070031" y="1192528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26" name="Oval 25"/>
          <xdr:cNvSpPr/>
        </xdr:nvSpPr>
        <xdr:spPr>
          <a:xfrm>
            <a:off x="5301421" y="1363516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27" name="Oval 26"/>
          <xdr:cNvSpPr/>
        </xdr:nvSpPr>
        <xdr:spPr>
          <a:xfrm>
            <a:off x="5370185" y="1622786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28" name="Oval 27"/>
          <xdr:cNvSpPr/>
        </xdr:nvSpPr>
        <xdr:spPr>
          <a:xfrm>
            <a:off x="5285621" y="1854174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29" name="Oval 28"/>
          <xdr:cNvSpPr/>
        </xdr:nvSpPr>
        <xdr:spPr>
          <a:xfrm>
            <a:off x="5075606" y="2001926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00</a:t>
            </a:r>
          </a:p>
        </xdr:txBody>
      </xdr:sp>
      <xdr:sp macro="" textlink="">
        <xdr:nvSpPr>
          <xdr:cNvPr id="30" name="Oval 29"/>
          <xdr:cNvSpPr/>
        </xdr:nvSpPr>
        <xdr:spPr>
          <a:xfrm>
            <a:off x="4591461" y="1829086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31" name="Oval 30"/>
          <xdr:cNvSpPr/>
        </xdr:nvSpPr>
        <xdr:spPr>
          <a:xfrm>
            <a:off x="4791252" y="1987058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</xdr:grpSp>
    <xdr:clientData/>
  </xdr:twoCellAnchor>
  <xdr:twoCellAnchor editAs="oneCell">
    <xdr:from>
      <xdr:col>20</xdr:col>
      <xdr:colOff>517791</xdr:colOff>
      <xdr:row>6</xdr:row>
      <xdr:rowOff>148717</xdr:rowOff>
    </xdr:from>
    <xdr:to>
      <xdr:col>22</xdr:col>
      <xdr:colOff>517518</xdr:colOff>
      <xdr:row>12</xdr:row>
      <xdr:rowOff>159620</xdr:rowOff>
    </xdr:to>
    <xdr:grpSp>
      <xdr:nvGrpSpPr>
        <xdr:cNvPr id="4" name="Circle12"/>
        <xdr:cNvGrpSpPr/>
      </xdr:nvGrpSpPr>
      <xdr:grpSpPr>
        <a:xfrm>
          <a:off x="21434691" y="1625092"/>
          <a:ext cx="1218927" cy="1220578"/>
          <a:chOff x="3152731" y="1096702"/>
          <a:chExt cx="1226174" cy="1213657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3" name="InnerCircle12"/>
          <xdr:cNvSpPr/>
        </xdr:nvSpPr>
        <xdr:spPr>
          <a:xfrm>
            <a:off x="3304639" y="1240300"/>
            <a:ext cx="914400" cy="91440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12</a:t>
            </a:r>
          </a:p>
        </xdr:txBody>
      </xdr:sp>
      <xdr:sp macro="" textlink="">
        <xdr:nvSpPr>
          <xdr:cNvPr id="8" name="Oval 7"/>
          <xdr:cNvSpPr/>
        </xdr:nvSpPr>
        <xdr:spPr>
          <a:xfrm>
            <a:off x="3673952" y="1096702"/>
            <a:ext cx="182880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9" name="Oval 8"/>
          <xdr:cNvSpPr/>
        </xdr:nvSpPr>
        <xdr:spPr>
          <a:xfrm>
            <a:off x="3152731" y="1606060"/>
            <a:ext cx="182880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0" name="Oval 9"/>
          <xdr:cNvSpPr/>
        </xdr:nvSpPr>
        <xdr:spPr>
          <a:xfrm>
            <a:off x="3937036" y="1163445"/>
            <a:ext cx="182880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1" name="Oval 10"/>
          <xdr:cNvSpPr/>
        </xdr:nvSpPr>
        <xdr:spPr>
          <a:xfrm>
            <a:off x="4196025" y="1606060"/>
            <a:ext cx="182880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2" name="Oval 11"/>
          <xdr:cNvSpPr/>
        </xdr:nvSpPr>
        <xdr:spPr>
          <a:xfrm>
            <a:off x="3673952" y="2127479"/>
            <a:ext cx="182880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3" name="Oval 12"/>
          <xdr:cNvSpPr/>
        </xdr:nvSpPr>
        <xdr:spPr>
          <a:xfrm>
            <a:off x="4129612" y="1362583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4" name="Oval 13"/>
          <xdr:cNvSpPr/>
        </xdr:nvSpPr>
        <xdr:spPr>
          <a:xfrm>
            <a:off x="3225217" y="1348369"/>
            <a:ext cx="182880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5" name="Oval 14"/>
          <xdr:cNvSpPr/>
        </xdr:nvSpPr>
        <xdr:spPr>
          <a:xfrm>
            <a:off x="3413146" y="1161861"/>
            <a:ext cx="186433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6" name="Oval 15"/>
          <xdr:cNvSpPr/>
        </xdr:nvSpPr>
        <xdr:spPr>
          <a:xfrm>
            <a:off x="3226141" y="1869972"/>
            <a:ext cx="182880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7" name="Oval 16"/>
          <xdr:cNvSpPr/>
        </xdr:nvSpPr>
        <xdr:spPr>
          <a:xfrm>
            <a:off x="3406418" y="2050250"/>
            <a:ext cx="182880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8" name="Oval 17"/>
          <xdr:cNvSpPr/>
        </xdr:nvSpPr>
        <xdr:spPr>
          <a:xfrm>
            <a:off x="3953756" y="2049321"/>
            <a:ext cx="182880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9" name="Oval 18"/>
          <xdr:cNvSpPr/>
        </xdr:nvSpPr>
        <xdr:spPr>
          <a:xfrm>
            <a:off x="4138679" y="1853245"/>
            <a:ext cx="182880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</xdr:grpSp>
    <xdr:clientData/>
  </xdr:twoCellAnchor>
  <xdr:twoCellAnchor editAs="oneCell">
    <xdr:from>
      <xdr:col>28</xdr:col>
      <xdr:colOff>80576</xdr:colOff>
      <xdr:row>17</xdr:row>
      <xdr:rowOff>23432</xdr:rowOff>
    </xdr:from>
    <xdr:to>
      <xdr:col>28</xdr:col>
      <xdr:colOff>347693</xdr:colOff>
      <xdr:row>20</xdr:row>
      <xdr:rowOff>43402</xdr:rowOff>
    </xdr:to>
    <xdr:grpSp>
      <xdr:nvGrpSpPr>
        <xdr:cNvPr id="42" name="Square2"/>
        <xdr:cNvGrpSpPr/>
      </xdr:nvGrpSpPr>
      <xdr:grpSpPr>
        <a:xfrm>
          <a:off x="25874276" y="3728657"/>
          <a:ext cx="267117" cy="591470"/>
          <a:chOff x="6725308" y="2819399"/>
          <a:chExt cx="274320" cy="591470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96" name="InnerSquare2"/>
          <xdr:cNvSpPr/>
        </xdr:nvSpPr>
        <xdr:spPr>
          <a:xfrm>
            <a:off x="6725308" y="2970487"/>
            <a:ext cx="274320" cy="274320"/>
          </a:xfrm>
          <a:prstGeom prst="rect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2</a:t>
            </a:r>
          </a:p>
        </xdr:txBody>
      </xdr:sp>
      <xdr:sp macro="" textlink="">
        <xdr:nvSpPr>
          <xdr:cNvPr id="97" name="Oval 96"/>
          <xdr:cNvSpPr/>
        </xdr:nvSpPr>
        <xdr:spPr>
          <a:xfrm>
            <a:off x="6770694" y="281939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98" name="Oval 97"/>
          <xdr:cNvSpPr/>
        </xdr:nvSpPr>
        <xdr:spPr>
          <a:xfrm>
            <a:off x="6770694" y="322798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</xdr:grpSp>
    <xdr:clientData/>
  </xdr:twoCellAnchor>
  <xdr:twoCellAnchor editAs="oneCell">
    <xdr:from>
      <xdr:col>26</xdr:col>
      <xdr:colOff>108465</xdr:colOff>
      <xdr:row>16</xdr:row>
      <xdr:rowOff>169716</xdr:rowOff>
    </xdr:from>
    <xdr:to>
      <xdr:col>27</xdr:col>
      <xdr:colOff>180175</xdr:colOff>
      <xdr:row>20</xdr:row>
      <xdr:rowOff>87618</xdr:rowOff>
    </xdr:to>
    <xdr:grpSp>
      <xdr:nvGrpSpPr>
        <xdr:cNvPr id="50" name="Square4"/>
        <xdr:cNvGrpSpPr/>
      </xdr:nvGrpSpPr>
      <xdr:grpSpPr>
        <a:xfrm>
          <a:off x="24682965" y="3684441"/>
          <a:ext cx="681310" cy="679902"/>
          <a:chOff x="5739105" y="2798379"/>
          <a:chExt cx="677535" cy="670297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91" name="InnerSquare4"/>
          <xdr:cNvSpPr/>
        </xdr:nvSpPr>
        <xdr:spPr>
          <a:xfrm>
            <a:off x="5896305" y="2949466"/>
            <a:ext cx="365760" cy="365760"/>
          </a:xfrm>
          <a:prstGeom prst="rect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4</a:t>
            </a:r>
          </a:p>
        </xdr:txBody>
      </xdr:sp>
      <xdr:sp macro="" textlink="">
        <xdr:nvSpPr>
          <xdr:cNvPr id="92" name="Oval 91"/>
          <xdr:cNvSpPr/>
        </xdr:nvSpPr>
        <xdr:spPr>
          <a:xfrm>
            <a:off x="5987411" y="279837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93" name="Oval 92"/>
          <xdr:cNvSpPr/>
        </xdr:nvSpPr>
        <xdr:spPr>
          <a:xfrm>
            <a:off x="5987411" y="3285796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94" name="Oval 93"/>
          <xdr:cNvSpPr/>
        </xdr:nvSpPr>
        <xdr:spPr>
          <a:xfrm>
            <a:off x="5739105" y="3040906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95" name="Oval 94"/>
          <xdr:cNvSpPr/>
        </xdr:nvSpPr>
        <xdr:spPr>
          <a:xfrm>
            <a:off x="6233091" y="3040906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</xdr:grpSp>
    <xdr:clientData/>
  </xdr:twoCellAnchor>
  <xdr:twoCellAnchor editAs="oneCell">
    <xdr:from>
      <xdr:col>23</xdr:col>
      <xdr:colOff>453242</xdr:colOff>
      <xdr:row>16</xdr:row>
      <xdr:rowOff>43540</xdr:rowOff>
    </xdr:from>
    <xdr:to>
      <xdr:col>25</xdr:col>
      <xdr:colOff>208064</xdr:colOff>
      <xdr:row>21</xdr:row>
      <xdr:rowOff>23295</xdr:rowOff>
    </xdr:to>
    <xdr:grpSp>
      <xdr:nvGrpSpPr>
        <xdr:cNvPr id="34" name="Square8"/>
        <xdr:cNvGrpSpPr/>
      </xdr:nvGrpSpPr>
      <xdr:grpSpPr>
        <a:xfrm>
          <a:off x="23198942" y="3558265"/>
          <a:ext cx="974022" cy="932255"/>
          <a:chOff x="4556235" y="2693276"/>
          <a:chExt cx="970511" cy="933055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70" name="InnerSquare8"/>
          <xdr:cNvSpPr/>
        </xdr:nvSpPr>
        <xdr:spPr>
          <a:xfrm>
            <a:off x="4724401" y="2839107"/>
            <a:ext cx="640080" cy="640080"/>
          </a:xfrm>
          <a:prstGeom prst="rect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8</a:t>
            </a:r>
          </a:p>
        </xdr:txBody>
      </xdr:sp>
      <xdr:sp macro="" textlink="">
        <xdr:nvSpPr>
          <xdr:cNvPr id="71" name="Oval 70"/>
          <xdr:cNvSpPr/>
        </xdr:nvSpPr>
        <xdr:spPr>
          <a:xfrm>
            <a:off x="4801914" y="2693276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72" name="Oval 71"/>
          <xdr:cNvSpPr/>
        </xdr:nvSpPr>
        <xdr:spPr>
          <a:xfrm>
            <a:off x="5097517" y="2693276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73" name="Oval 72"/>
          <xdr:cNvSpPr/>
        </xdr:nvSpPr>
        <xdr:spPr>
          <a:xfrm>
            <a:off x="4816366" y="3443451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74" name="Oval 73"/>
          <xdr:cNvSpPr/>
        </xdr:nvSpPr>
        <xdr:spPr>
          <a:xfrm>
            <a:off x="5111969" y="3443451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75" name="Oval 74"/>
          <xdr:cNvSpPr/>
        </xdr:nvSpPr>
        <xdr:spPr>
          <a:xfrm>
            <a:off x="5343197" y="292121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76" name="Oval 75"/>
          <xdr:cNvSpPr/>
        </xdr:nvSpPr>
        <xdr:spPr>
          <a:xfrm>
            <a:off x="5343197" y="3191860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77" name="Oval 76"/>
          <xdr:cNvSpPr/>
        </xdr:nvSpPr>
        <xdr:spPr>
          <a:xfrm>
            <a:off x="4556235" y="292121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78" name="Oval 77"/>
          <xdr:cNvSpPr/>
        </xdr:nvSpPr>
        <xdr:spPr>
          <a:xfrm>
            <a:off x="4556235" y="3191860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</xdr:grpSp>
    <xdr:clientData/>
  </xdr:twoCellAnchor>
  <xdr:twoCellAnchor editAs="oneCell">
    <xdr:from>
      <xdr:col>20</xdr:col>
      <xdr:colOff>561015</xdr:colOff>
      <xdr:row>15</xdr:row>
      <xdr:rowOff>95691</xdr:rowOff>
    </xdr:from>
    <xdr:to>
      <xdr:col>22</xdr:col>
      <xdr:colOff>552841</xdr:colOff>
      <xdr:row>21</xdr:row>
      <xdr:rowOff>161644</xdr:rowOff>
    </xdr:to>
    <xdr:grpSp>
      <xdr:nvGrpSpPr>
        <xdr:cNvPr id="56" name="Square12"/>
        <xdr:cNvGrpSpPr/>
      </xdr:nvGrpSpPr>
      <xdr:grpSpPr>
        <a:xfrm>
          <a:off x="21477915" y="3419916"/>
          <a:ext cx="1211026" cy="1208953"/>
          <a:chOff x="3166242" y="2562553"/>
          <a:chExt cx="1222759" cy="1208953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57" name="InnerSquare12"/>
          <xdr:cNvSpPr/>
        </xdr:nvSpPr>
        <xdr:spPr>
          <a:xfrm>
            <a:off x="3323897" y="2712983"/>
            <a:ext cx="917745" cy="914400"/>
          </a:xfrm>
          <a:prstGeom prst="rect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12</a:t>
            </a:r>
          </a:p>
        </xdr:txBody>
      </xdr:sp>
      <xdr:sp macro="" textlink="">
        <xdr:nvSpPr>
          <xdr:cNvPr id="58" name="Oval 57"/>
          <xdr:cNvSpPr/>
        </xdr:nvSpPr>
        <xdr:spPr>
          <a:xfrm>
            <a:off x="3386959" y="2562553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59" name="Oval 58"/>
          <xdr:cNvSpPr/>
        </xdr:nvSpPr>
        <xdr:spPr>
          <a:xfrm>
            <a:off x="3682562" y="2562553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0" name="Oval 59"/>
          <xdr:cNvSpPr/>
        </xdr:nvSpPr>
        <xdr:spPr>
          <a:xfrm>
            <a:off x="3978165" y="2562553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1" name="Oval 60"/>
          <xdr:cNvSpPr/>
        </xdr:nvSpPr>
        <xdr:spPr>
          <a:xfrm>
            <a:off x="3386959" y="3588626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2" name="Oval 61"/>
          <xdr:cNvSpPr/>
        </xdr:nvSpPr>
        <xdr:spPr>
          <a:xfrm>
            <a:off x="3684532" y="3588626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3" name="Oval 62"/>
          <xdr:cNvSpPr/>
        </xdr:nvSpPr>
        <xdr:spPr>
          <a:xfrm>
            <a:off x="3978165" y="3588626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4" name="Oval 63"/>
          <xdr:cNvSpPr/>
        </xdr:nvSpPr>
        <xdr:spPr>
          <a:xfrm>
            <a:off x="3166242" y="2813488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5" name="Oval 64"/>
          <xdr:cNvSpPr/>
        </xdr:nvSpPr>
        <xdr:spPr>
          <a:xfrm>
            <a:off x="3166242" y="308412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6" name="Oval 65"/>
          <xdr:cNvSpPr/>
        </xdr:nvSpPr>
        <xdr:spPr>
          <a:xfrm>
            <a:off x="3166242" y="3354770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7" name="Oval 66"/>
          <xdr:cNvSpPr/>
        </xdr:nvSpPr>
        <xdr:spPr>
          <a:xfrm>
            <a:off x="4205452" y="2808233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8" name="Oval 67"/>
          <xdr:cNvSpPr/>
        </xdr:nvSpPr>
        <xdr:spPr>
          <a:xfrm>
            <a:off x="4205452" y="3078874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9" name="Oval 68"/>
          <xdr:cNvSpPr/>
        </xdr:nvSpPr>
        <xdr:spPr>
          <a:xfrm>
            <a:off x="4205452" y="3349515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</xdr:grpSp>
    <xdr:clientData/>
  </xdr:twoCellAnchor>
  <xdr:twoCellAnchor>
    <xdr:from>
      <xdr:col>30</xdr:col>
      <xdr:colOff>199465</xdr:colOff>
      <xdr:row>0</xdr:row>
      <xdr:rowOff>443657</xdr:rowOff>
    </xdr:from>
    <xdr:to>
      <xdr:col>31</xdr:col>
      <xdr:colOff>573005</xdr:colOff>
      <xdr:row>4</xdr:row>
      <xdr:rowOff>2640</xdr:rowOff>
    </xdr:to>
    <xdr:grpSp>
      <xdr:nvGrpSpPr>
        <xdr:cNvPr id="658" name="Rectangle6"/>
        <xdr:cNvGrpSpPr/>
      </xdr:nvGrpSpPr>
      <xdr:grpSpPr>
        <a:xfrm>
          <a:off x="27212365" y="443657"/>
          <a:ext cx="983140" cy="654358"/>
          <a:chOff x="9071743" y="4323694"/>
          <a:chExt cx="979971" cy="657159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659" name="InnerRectangle6"/>
          <xdr:cNvSpPr/>
        </xdr:nvSpPr>
        <xdr:spPr>
          <a:xfrm>
            <a:off x="9225459" y="4462955"/>
            <a:ext cx="680541" cy="365760"/>
          </a:xfrm>
          <a:prstGeom prst="rect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6</a:t>
            </a:r>
          </a:p>
        </xdr:txBody>
      </xdr:sp>
      <xdr:sp macro="" textlink="">
        <xdr:nvSpPr>
          <xdr:cNvPr id="660" name="Oval 659"/>
          <xdr:cNvSpPr/>
        </xdr:nvSpPr>
        <xdr:spPr>
          <a:xfrm>
            <a:off x="9320050" y="4323694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61" name="Oval 660"/>
          <xdr:cNvSpPr/>
        </xdr:nvSpPr>
        <xdr:spPr>
          <a:xfrm>
            <a:off x="9610661" y="4323694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62" name="Oval 661"/>
          <xdr:cNvSpPr/>
        </xdr:nvSpPr>
        <xdr:spPr>
          <a:xfrm>
            <a:off x="9320050" y="4797973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63" name="Oval 662"/>
          <xdr:cNvSpPr/>
        </xdr:nvSpPr>
        <xdr:spPr>
          <a:xfrm>
            <a:off x="9610661" y="4797973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64" name="Oval 663"/>
          <xdr:cNvSpPr/>
        </xdr:nvSpPr>
        <xdr:spPr>
          <a:xfrm>
            <a:off x="9071743" y="4554395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665" name="Oval 664"/>
          <xdr:cNvSpPr/>
        </xdr:nvSpPr>
        <xdr:spPr>
          <a:xfrm>
            <a:off x="9868165" y="4554395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</xdr:grpSp>
    <xdr:clientData/>
  </xdr:twoCellAnchor>
  <xdr:twoCellAnchor editAs="oneCell">
    <xdr:from>
      <xdr:col>28</xdr:col>
      <xdr:colOff>34433</xdr:colOff>
      <xdr:row>0</xdr:row>
      <xdr:rowOff>435570</xdr:rowOff>
    </xdr:from>
    <xdr:to>
      <xdr:col>30</xdr:col>
      <xdr:colOff>60521</xdr:colOff>
      <xdr:row>4</xdr:row>
      <xdr:rowOff>10727</xdr:rowOff>
    </xdr:to>
    <xdr:grpSp>
      <xdr:nvGrpSpPr>
        <xdr:cNvPr id="100" name="Rectangle8"/>
        <xdr:cNvGrpSpPr/>
      </xdr:nvGrpSpPr>
      <xdr:grpSpPr>
        <a:xfrm>
          <a:off x="25828133" y="435570"/>
          <a:ext cx="1245288" cy="670532"/>
          <a:chOff x="7549056" y="4289535"/>
          <a:chExt cx="1250874" cy="663728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133" name="InnerRectangle8"/>
          <xdr:cNvSpPr/>
        </xdr:nvSpPr>
        <xdr:spPr>
          <a:xfrm>
            <a:off x="7713281" y="4441934"/>
            <a:ext cx="931479" cy="365760"/>
          </a:xfrm>
          <a:prstGeom prst="rect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8</a:t>
            </a:r>
          </a:p>
        </xdr:txBody>
      </xdr:sp>
      <xdr:sp macro="" textlink="">
        <xdr:nvSpPr>
          <xdr:cNvPr id="134" name="Oval 133"/>
          <xdr:cNvSpPr/>
        </xdr:nvSpPr>
        <xdr:spPr>
          <a:xfrm>
            <a:off x="7790794" y="4289535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35" name="Oval 134"/>
          <xdr:cNvSpPr/>
        </xdr:nvSpPr>
        <xdr:spPr>
          <a:xfrm>
            <a:off x="8081405" y="4289535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36" name="Oval 135"/>
          <xdr:cNvSpPr/>
        </xdr:nvSpPr>
        <xdr:spPr>
          <a:xfrm>
            <a:off x="8372016" y="4289535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37" name="Oval 136"/>
          <xdr:cNvSpPr/>
        </xdr:nvSpPr>
        <xdr:spPr>
          <a:xfrm>
            <a:off x="7805245" y="4770383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38" name="Oval 137"/>
          <xdr:cNvSpPr/>
        </xdr:nvSpPr>
        <xdr:spPr>
          <a:xfrm>
            <a:off x="8095856" y="4770383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39" name="Oval 138"/>
          <xdr:cNvSpPr/>
        </xdr:nvSpPr>
        <xdr:spPr>
          <a:xfrm>
            <a:off x="8386467" y="4770383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41" name="Oval 140"/>
          <xdr:cNvSpPr/>
        </xdr:nvSpPr>
        <xdr:spPr>
          <a:xfrm>
            <a:off x="7549056" y="4533374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42" name="Oval 141"/>
          <xdr:cNvSpPr/>
        </xdr:nvSpPr>
        <xdr:spPr>
          <a:xfrm>
            <a:off x="8616381" y="4533374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</xdr:grpSp>
    <xdr:clientData/>
  </xdr:twoCellAnchor>
  <xdr:twoCellAnchor editAs="oneCell">
    <xdr:from>
      <xdr:col>24</xdr:col>
      <xdr:colOff>271289</xdr:colOff>
      <xdr:row>0</xdr:row>
      <xdr:rowOff>385644</xdr:rowOff>
    </xdr:from>
    <xdr:to>
      <xdr:col>27</xdr:col>
      <xdr:colOff>213634</xdr:colOff>
      <xdr:row>4</xdr:row>
      <xdr:rowOff>60652</xdr:rowOff>
    </xdr:to>
    <xdr:grpSp>
      <xdr:nvGrpSpPr>
        <xdr:cNvPr id="101" name="Rectangle12"/>
        <xdr:cNvGrpSpPr/>
      </xdr:nvGrpSpPr>
      <xdr:grpSpPr>
        <a:xfrm>
          <a:off x="23626589" y="385644"/>
          <a:ext cx="1771145" cy="770383"/>
          <a:chOff x="5446986" y="4177862"/>
          <a:chExt cx="1774553" cy="763579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120" name="InnerRectangle12"/>
          <xdr:cNvSpPr/>
        </xdr:nvSpPr>
        <xdr:spPr>
          <a:xfrm>
            <a:off x="5603328" y="4328948"/>
            <a:ext cx="1463040" cy="457200"/>
          </a:xfrm>
          <a:prstGeom prst="rect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12</a:t>
            </a:r>
          </a:p>
        </xdr:txBody>
      </xdr:sp>
      <xdr:sp macro="" textlink="">
        <xdr:nvSpPr>
          <xdr:cNvPr id="121" name="Oval 120"/>
          <xdr:cNvSpPr/>
        </xdr:nvSpPr>
        <xdr:spPr>
          <a:xfrm>
            <a:off x="5675586" y="4177862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22" name="Oval 121"/>
          <xdr:cNvSpPr/>
        </xdr:nvSpPr>
        <xdr:spPr>
          <a:xfrm>
            <a:off x="5966197" y="4177862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23" name="Oval 122"/>
          <xdr:cNvSpPr/>
        </xdr:nvSpPr>
        <xdr:spPr>
          <a:xfrm>
            <a:off x="6256808" y="4177862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24" name="Oval 123"/>
          <xdr:cNvSpPr/>
        </xdr:nvSpPr>
        <xdr:spPr>
          <a:xfrm>
            <a:off x="6547419" y="4179176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25" name="Oval 124"/>
          <xdr:cNvSpPr/>
        </xdr:nvSpPr>
        <xdr:spPr>
          <a:xfrm>
            <a:off x="6838030" y="4179176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26" name="Oval 125"/>
          <xdr:cNvSpPr/>
        </xdr:nvSpPr>
        <xdr:spPr>
          <a:xfrm>
            <a:off x="5676899" y="4757247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27" name="Oval 126"/>
          <xdr:cNvSpPr/>
        </xdr:nvSpPr>
        <xdr:spPr>
          <a:xfrm>
            <a:off x="5967510" y="4757247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28" name="Oval 127"/>
          <xdr:cNvSpPr/>
        </xdr:nvSpPr>
        <xdr:spPr>
          <a:xfrm>
            <a:off x="6258121" y="4757247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29" name="Oval 128"/>
          <xdr:cNvSpPr/>
        </xdr:nvSpPr>
        <xdr:spPr>
          <a:xfrm>
            <a:off x="6548732" y="4758561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30" name="Oval 129"/>
          <xdr:cNvSpPr/>
        </xdr:nvSpPr>
        <xdr:spPr>
          <a:xfrm>
            <a:off x="6839343" y="4758561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31" name="Oval 130"/>
          <xdr:cNvSpPr/>
        </xdr:nvSpPr>
        <xdr:spPr>
          <a:xfrm>
            <a:off x="5446986" y="4466108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32" name="Oval 131"/>
          <xdr:cNvSpPr/>
        </xdr:nvSpPr>
        <xdr:spPr>
          <a:xfrm>
            <a:off x="7037990" y="4466108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</xdr:grpSp>
    <xdr:clientData/>
  </xdr:twoCellAnchor>
  <xdr:twoCellAnchor editAs="oneCell">
    <xdr:from>
      <xdr:col>20</xdr:col>
      <xdr:colOff>431348</xdr:colOff>
      <xdr:row>0</xdr:row>
      <xdr:rowOff>294009</xdr:rowOff>
    </xdr:from>
    <xdr:to>
      <xdr:col>24</xdr:col>
      <xdr:colOff>111419</xdr:colOff>
      <xdr:row>4</xdr:row>
      <xdr:rowOff>152288</xdr:rowOff>
    </xdr:to>
    <xdr:grpSp>
      <xdr:nvGrpSpPr>
        <xdr:cNvPr id="79" name="Rectangle16"/>
        <xdr:cNvGrpSpPr/>
      </xdr:nvGrpSpPr>
      <xdr:grpSpPr>
        <a:xfrm>
          <a:off x="21348248" y="294009"/>
          <a:ext cx="2118471" cy="953654"/>
          <a:chOff x="3071649" y="4072759"/>
          <a:chExt cx="2129277" cy="946850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102" name="InnerRectangle16"/>
          <xdr:cNvSpPr/>
        </xdr:nvSpPr>
        <xdr:spPr>
          <a:xfrm>
            <a:off x="3225363" y="4223845"/>
            <a:ext cx="1828800" cy="640080"/>
          </a:xfrm>
          <a:prstGeom prst="rect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16</a:t>
            </a:r>
          </a:p>
        </xdr:txBody>
      </xdr:sp>
      <xdr:sp macro="" textlink="">
        <xdr:nvSpPr>
          <xdr:cNvPr id="103" name="Oval 102"/>
          <xdr:cNvSpPr/>
        </xdr:nvSpPr>
        <xdr:spPr>
          <a:xfrm>
            <a:off x="3310758" y="407275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04" name="Oval 103"/>
          <xdr:cNvSpPr/>
        </xdr:nvSpPr>
        <xdr:spPr>
          <a:xfrm>
            <a:off x="3601369" y="407275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05" name="Oval 104"/>
          <xdr:cNvSpPr/>
        </xdr:nvSpPr>
        <xdr:spPr>
          <a:xfrm>
            <a:off x="3891980" y="407275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06" name="Oval 105"/>
          <xdr:cNvSpPr/>
        </xdr:nvSpPr>
        <xdr:spPr>
          <a:xfrm>
            <a:off x="4182591" y="4074073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07" name="Oval 106"/>
          <xdr:cNvSpPr/>
        </xdr:nvSpPr>
        <xdr:spPr>
          <a:xfrm>
            <a:off x="4473202" y="4074073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08" name="Oval 107"/>
          <xdr:cNvSpPr/>
        </xdr:nvSpPr>
        <xdr:spPr>
          <a:xfrm>
            <a:off x="4763812" y="4074073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09" name="Oval 108"/>
          <xdr:cNvSpPr/>
        </xdr:nvSpPr>
        <xdr:spPr>
          <a:xfrm>
            <a:off x="3331778" y="483672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10" name="Oval 109"/>
          <xdr:cNvSpPr/>
        </xdr:nvSpPr>
        <xdr:spPr>
          <a:xfrm>
            <a:off x="3622389" y="483672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11" name="Oval 110"/>
          <xdr:cNvSpPr/>
        </xdr:nvSpPr>
        <xdr:spPr>
          <a:xfrm>
            <a:off x="3913000" y="483672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12" name="Oval 111"/>
          <xdr:cNvSpPr/>
        </xdr:nvSpPr>
        <xdr:spPr>
          <a:xfrm>
            <a:off x="4203611" y="483672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13" name="Oval 112"/>
          <xdr:cNvSpPr/>
        </xdr:nvSpPr>
        <xdr:spPr>
          <a:xfrm>
            <a:off x="4494222" y="483672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14" name="Oval 113"/>
          <xdr:cNvSpPr/>
        </xdr:nvSpPr>
        <xdr:spPr>
          <a:xfrm>
            <a:off x="4784832" y="4836729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15" name="Oval 114"/>
          <xdr:cNvSpPr/>
        </xdr:nvSpPr>
        <xdr:spPr>
          <a:xfrm>
            <a:off x="3071649" y="4296103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16" name="Oval 115"/>
          <xdr:cNvSpPr/>
        </xdr:nvSpPr>
        <xdr:spPr>
          <a:xfrm>
            <a:off x="3071649" y="4593021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17" name="Oval 116"/>
          <xdr:cNvSpPr/>
        </xdr:nvSpPr>
        <xdr:spPr>
          <a:xfrm>
            <a:off x="5017377" y="4303986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  <xdr:sp macro="" textlink="">
        <xdr:nvSpPr>
          <xdr:cNvPr id="118" name="Oval 117"/>
          <xdr:cNvSpPr/>
        </xdr:nvSpPr>
        <xdr:spPr>
          <a:xfrm>
            <a:off x="5017377" y="4600904"/>
            <a:ext cx="183549" cy="182880"/>
          </a:xfrm>
          <a:prstGeom prst="ellipse">
            <a:avLst/>
          </a:prstGeom>
          <a:grpFill/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/>
          </a:p>
        </xdr:txBody>
      </xdr:sp>
    </xdr:grpSp>
    <xdr:clientData/>
  </xdr:twoCellAnchor>
  <xdr:twoCellAnchor editAs="oneCell">
    <xdr:from>
      <xdr:col>10</xdr:col>
      <xdr:colOff>171450</xdr:colOff>
      <xdr:row>0</xdr:row>
      <xdr:rowOff>29404</xdr:rowOff>
    </xdr:from>
    <xdr:to>
      <xdr:col>10</xdr:col>
      <xdr:colOff>651841</xdr:colOff>
      <xdr:row>0</xdr:row>
      <xdr:rowOff>513107</xdr:rowOff>
    </xdr:to>
    <xdr:pic>
      <xdr:nvPicPr>
        <xdr:cNvPr id="119" name="TableIcon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9404"/>
          <a:ext cx="480391" cy="48370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1257</xdr:colOff>
      <xdr:row>3</xdr:row>
      <xdr:rowOff>148097</xdr:rowOff>
    </xdr:from>
    <xdr:to>
      <xdr:col>4</xdr:col>
      <xdr:colOff>638709</xdr:colOff>
      <xdr:row>5</xdr:row>
      <xdr:rowOff>31983</xdr:rowOff>
    </xdr:to>
    <xdr:grpSp>
      <xdr:nvGrpSpPr>
        <xdr:cNvPr id="1041" name="SampleTablesGrp"/>
        <xdr:cNvGrpSpPr/>
      </xdr:nvGrpSpPr>
      <xdr:grpSpPr>
        <a:xfrm>
          <a:off x="2144382" y="1052972"/>
          <a:ext cx="1513752" cy="264886"/>
          <a:chOff x="1906257" y="1078616"/>
          <a:chExt cx="1370144" cy="264886"/>
        </a:xfrm>
      </xdr:grpSpPr>
      <xdr:grpSp>
        <xdr:nvGrpSpPr>
          <xdr:cNvPr id="1033" name="RectangleSampleGrp"/>
          <xdr:cNvGrpSpPr/>
        </xdr:nvGrpSpPr>
        <xdr:grpSpPr>
          <a:xfrm>
            <a:off x="1906257" y="1093787"/>
            <a:ext cx="269954" cy="234546"/>
            <a:chOff x="1434546" y="1416721"/>
            <a:chExt cx="274320" cy="242980"/>
          </a:xfrm>
        </xdr:grpSpPr>
        <xdr:sp macro="[0]!Table_SelectToAdd" textlink="">
          <xdr:nvSpPr>
            <xdr:cNvPr id="1030" name="Rectangle"/>
            <xdr:cNvSpPr/>
          </xdr:nvSpPr>
          <xdr:spPr>
            <a:xfrm>
              <a:off x="1434546" y="1471820"/>
              <a:ext cx="274320" cy="132522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400" i="0">
                  <a:solidFill>
                    <a:srgbClr val="00B0F0"/>
                  </a:solidFill>
                </a:rPr>
                <a:t>+</a:t>
              </a:r>
            </a:p>
          </xdr:txBody>
        </xdr:sp>
        <xdr:sp macro="[0]!Table_SelectToAdd" textlink="">
          <xdr:nvSpPr>
            <xdr:cNvPr id="156" name="Rectangle"/>
            <xdr:cNvSpPr/>
          </xdr:nvSpPr>
          <xdr:spPr>
            <a:xfrm>
              <a:off x="1447274" y="1416721"/>
              <a:ext cx="73152" cy="54864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57" name="Rectangle"/>
            <xdr:cNvSpPr/>
          </xdr:nvSpPr>
          <xdr:spPr>
            <a:xfrm>
              <a:off x="1532952" y="1416721"/>
              <a:ext cx="73152" cy="54864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58" name="Rectangle"/>
            <xdr:cNvSpPr/>
          </xdr:nvSpPr>
          <xdr:spPr>
            <a:xfrm>
              <a:off x="1618630" y="1416721"/>
              <a:ext cx="73152" cy="54864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59" name="Rectangle"/>
            <xdr:cNvSpPr/>
          </xdr:nvSpPr>
          <xdr:spPr>
            <a:xfrm>
              <a:off x="1447274" y="1604837"/>
              <a:ext cx="73152" cy="54864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60" name="Rectangle"/>
            <xdr:cNvSpPr/>
          </xdr:nvSpPr>
          <xdr:spPr>
            <a:xfrm>
              <a:off x="1532952" y="1604837"/>
              <a:ext cx="73152" cy="54864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61" name="Rectangle"/>
            <xdr:cNvSpPr/>
          </xdr:nvSpPr>
          <xdr:spPr>
            <a:xfrm>
              <a:off x="1618630" y="1604837"/>
              <a:ext cx="73152" cy="54864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1035" name="CircleSampleGrp"/>
          <xdr:cNvGrpSpPr/>
        </xdr:nvGrpSpPr>
        <xdr:grpSpPr>
          <a:xfrm>
            <a:off x="2300047" y="1084636"/>
            <a:ext cx="257565" cy="252848"/>
            <a:chOff x="1703783" y="1223963"/>
            <a:chExt cx="257178" cy="261940"/>
          </a:xfrm>
        </xdr:grpSpPr>
        <xdr:sp macro="[0]!Table_SelectToAdd" textlink="">
          <xdr:nvSpPr>
            <xdr:cNvPr id="166" name="Circle"/>
            <xdr:cNvSpPr/>
          </xdr:nvSpPr>
          <xdr:spPr>
            <a:xfrm>
              <a:off x="1800892" y="1223963"/>
              <a:ext cx="64008" cy="6400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67" name="Circle"/>
            <xdr:cNvSpPr/>
          </xdr:nvSpPr>
          <xdr:spPr>
            <a:xfrm rot="2872835">
              <a:off x="1870706" y="1256758"/>
              <a:ext cx="64008" cy="6400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68" name="Circle"/>
            <xdr:cNvSpPr/>
          </xdr:nvSpPr>
          <xdr:spPr>
            <a:xfrm rot="18820040">
              <a:off x="1732168" y="1255964"/>
              <a:ext cx="64008" cy="6400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69" name="Circle"/>
            <xdr:cNvSpPr/>
          </xdr:nvSpPr>
          <xdr:spPr>
            <a:xfrm rot="5400000">
              <a:off x="1896953" y="1324643"/>
              <a:ext cx="64008" cy="6400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70" name="Circle"/>
            <xdr:cNvSpPr/>
          </xdr:nvSpPr>
          <xdr:spPr>
            <a:xfrm rot="10800000">
              <a:off x="1800893" y="1421895"/>
              <a:ext cx="64008" cy="6400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71" name="Circle"/>
            <xdr:cNvSpPr/>
          </xdr:nvSpPr>
          <xdr:spPr>
            <a:xfrm rot="16200000">
              <a:off x="1703783" y="1324644"/>
              <a:ext cx="64008" cy="6400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72" name="Circle"/>
            <xdr:cNvSpPr/>
          </xdr:nvSpPr>
          <xdr:spPr>
            <a:xfrm rot="13265881">
              <a:off x="1737128" y="1393766"/>
              <a:ext cx="64008" cy="6400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73" name="Circle"/>
            <xdr:cNvSpPr/>
          </xdr:nvSpPr>
          <xdr:spPr>
            <a:xfrm rot="8026414">
              <a:off x="1871315" y="1395502"/>
              <a:ext cx="64008" cy="6400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65" name="Circle"/>
            <xdr:cNvSpPr/>
          </xdr:nvSpPr>
          <xdr:spPr>
            <a:xfrm>
              <a:off x="1759744" y="1283495"/>
              <a:ext cx="146304" cy="146304"/>
            </a:xfrm>
            <a:prstGeom prst="ellipse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400" b="1">
                  <a:solidFill>
                    <a:srgbClr val="00B0F0"/>
                  </a:solidFill>
                </a:rPr>
                <a:t>+</a:t>
              </a:r>
            </a:p>
          </xdr:txBody>
        </xdr:sp>
      </xdr:grpSp>
      <xdr:grpSp>
        <xdr:nvGrpSpPr>
          <xdr:cNvPr id="1034" name="SquareSampleGrp"/>
          <xdr:cNvGrpSpPr/>
        </xdr:nvGrpSpPr>
        <xdr:grpSpPr>
          <a:xfrm>
            <a:off x="2676990" y="1078616"/>
            <a:ext cx="275300" cy="264886"/>
            <a:chOff x="2025016" y="1421131"/>
            <a:chExt cx="274887" cy="274411"/>
          </a:xfrm>
        </xdr:grpSpPr>
        <xdr:sp macro="[0]!Table_SelectToAdd" textlink="">
          <xdr:nvSpPr>
            <xdr:cNvPr id="174" name="Square"/>
            <xdr:cNvSpPr/>
          </xdr:nvSpPr>
          <xdr:spPr>
            <a:xfrm>
              <a:off x="2079866" y="1476251"/>
              <a:ext cx="164592" cy="164592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sz="1400" b="1">
                  <a:solidFill>
                    <a:srgbClr val="00B0F0"/>
                  </a:solidFill>
                </a:rPr>
                <a:t>+</a:t>
              </a:r>
            </a:p>
          </xdr:txBody>
        </xdr:sp>
        <xdr:sp macro="[0]!Table_SelectToAdd" textlink="">
          <xdr:nvSpPr>
            <xdr:cNvPr id="175" name="Square"/>
            <xdr:cNvSpPr/>
          </xdr:nvSpPr>
          <xdr:spPr>
            <a:xfrm>
              <a:off x="2125586" y="1421131"/>
              <a:ext cx="73152" cy="54864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76" name="Square"/>
            <xdr:cNvSpPr/>
          </xdr:nvSpPr>
          <xdr:spPr>
            <a:xfrm>
              <a:off x="2125586" y="1640678"/>
              <a:ext cx="73152" cy="54864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77" name="Square"/>
            <xdr:cNvSpPr/>
          </xdr:nvSpPr>
          <xdr:spPr>
            <a:xfrm>
              <a:off x="2025016" y="1521971"/>
              <a:ext cx="54864" cy="73152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able_SelectToAdd" textlink="">
          <xdr:nvSpPr>
            <xdr:cNvPr id="178" name="Square"/>
            <xdr:cNvSpPr/>
          </xdr:nvSpPr>
          <xdr:spPr>
            <a:xfrm>
              <a:off x="2245039" y="1521971"/>
              <a:ext cx="54864" cy="73152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[0]!Table_SelectToAdd" textlink="">
        <xdr:nvSpPr>
          <xdr:cNvPr id="186" name="SampleAddFixture"/>
          <xdr:cNvSpPr/>
        </xdr:nvSpPr>
        <xdr:spPr>
          <a:xfrm>
            <a:off x="3076130" y="1131620"/>
            <a:ext cx="200271" cy="158879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400" b="1">
                <a:solidFill>
                  <a:srgbClr val="00B0F0"/>
                </a:solidFill>
              </a:rPr>
              <a:t>+</a:t>
            </a:r>
          </a:p>
        </xdr:txBody>
      </xdr:sp>
    </xdr:grpSp>
    <xdr:clientData/>
  </xdr:twoCellAnchor>
  <xdr:twoCellAnchor editAs="oneCell">
    <xdr:from>
      <xdr:col>3</xdr:col>
      <xdr:colOff>184701</xdr:colOff>
      <xdr:row>9</xdr:row>
      <xdr:rowOff>69574</xdr:rowOff>
    </xdr:from>
    <xdr:to>
      <xdr:col>4</xdr:col>
      <xdr:colOff>296006</xdr:colOff>
      <xdr:row>10</xdr:row>
      <xdr:rowOff>145774</xdr:rowOff>
    </xdr:to>
    <xdr:grpSp>
      <xdr:nvGrpSpPr>
        <xdr:cNvPr id="1038" name="AddTableBtn" hidden="1"/>
        <xdr:cNvGrpSpPr/>
      </xdr:nvGrpSpPr>
      <xdr:grpSpPr>
        <a:xfrm>
          <a:off x="2327826" y="2117449"/>
          <a:ext cx="987605" cy="266700"/>
          <a:chOff x="1657349" y="2390775"/>
          <a:chExt cx="995723" cy="266700"/>
        </a:xfrm>
      </xdr:grpSpPr>
      <xdr:sp macro="[0]!Table_AddTableFixture" textlink="$B$10">
        <xdr:nvSpPr>
          <xdr:cNvPr id="1036" name="Rectangle 1035" hidden="1"/>
          <xdr:cNvSpPr/>
        </xdr:nvSpPr>
        <xdr:spPr>
          <a:xfrm>
            <a:off x="1657349" y="2390775"/>
            <a:ext cx="995723" cy="2667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fld id="{57A761F9-F6F2-42D0-A5A1-171942C2757D}" type="TxLink">
              <a:rPr lang="en-US" sz="11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r"/>
              <a:t>Add Table</a:t>
            </a:fld>
            <a:endParaRPr lang="en-US" sz="1100">
              <a:solidFill>
                <a:schemeClr val="bg1"/>
              </a:solidFill>
            </a:endParaRPr>
          </a:p>
        </xdr:txBody>
      </xdr:sp>
      <xdr:pic macro="[0]!Table_AddTableFixture">
        <xdr:nvPicPr>
          <xdr:cNvPr id="1037" name="Picture 1036" hidden="1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6329" y="2418969"/>
            <a:ext cx="210312" cy="210312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463826</xdr:colOff>
      <xdr:row>2</xdr:row>
      <xdr:rowOff>24848</xdr:rowOff>
    </xdr:from>
    <xdr:to>
      <xdr:col>6</xdr:col>
      <xdr:colOff>32710</xdr:colOff>
      <xdr:row>2</xdr:row>
      <xdr:rowOff>182217</xdr:rowOff>
    </xdr:to>
    <xdr:sp macro="[0]!Hide_AddTablePanel" textlink="">
      <xdr:nvSpPr>
        <xdr:cNvPr id="1040" name="HideCustomTableBtn"/>
        <xdr:cNvSpPr txBox="1"/>
      </xdr:nvSpPr>
      <xdr:spPr>
        <a:xfrm>
          <a:off x="3388001" y="720173"/>
          <a:ext cx="411480" cy="1573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 b="1" i="1" u="sng">
              <a:solidFill>
                <a:srgbClr val="0070C0"/>
              </a:solidFill>
            </a:rPr>
            <a:t>Hide&gt;&gt;</a:t>
          </a:r>
        </a:p>
      </xdr:txBody>
    </xdr:sp>
    <xdr:clientData/>
  </xdr:twoCellAnchor>
  <xdr:twoCellAnchor>
    <xdr:from>
      <xdr:col>10</xdr:col>
      <xdr:colOff>53008</xdr:colOff>
      <xdr:row>0</xdr:row>
      <xdr:rowOff>509379</xdr:rowOff>
    </xdr:from>
    <xdr:to>
      <xdr:col>11</xdr:col>
      <xdr:colOff>323850</xdr:colOff>
      <xdr:row>2</xdr:row>
      <xdr:rowOff>38100</xdr:rowOff>
    </xdr:to>
    <xdr:sp macro="[0]!Show_AddTablePanel" textlink="">
      <xdr:nvSpPr>
        <xdr:cNvPr id="195" name="ShowCustomTableBtn" hidden="1"/>
        <xdr:cNvSpPr txBox="1"/>
      </xdr:nvSpPr>
      <xdr:spPr>
        <a:xfrm>
          <a:off x="1872283" y="509379"/>
          <a:ext cx="1137617" cy="224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 b="1" i="1" u="sng">
              <a:solidFill>
                <a:srgbClr val="0000FF"/>
              </a:solidFill>
            </a:rPr>
            <a:t>&lt;&lt; Customize</a:t>
          </a:r>
          <a:r>
            <a:rPr lang="en-US" sz="1000" b="1" i="1" u="sng" baseline="0">
              <a:solidFill>
                <a:srgbClr val="0000FF"/>
              </a:solidFill>
            </a:rPr>
            <a:t> Design</a:t>
          </a:r>
          <a:endParaRPr lang="en-US" sz="1000" b="1" i="1" u="sng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418686</xdr:colOff>
      <xdr:row>0</xdr:row>
      <xdr:rowOff>509379</xdr:rowOff>
    </xdr:from>
    <xdr:to>
      <xdr:col>12</xdr:col>
      <xdr:colOff>801591</xdr:colOff>
      <xdr:row>2</xdr:row>
      <xdr:rowOff>24366</xdr:rowOff>
    </xdr:to>
    <xdr:sp macro="[0]!Show_EventsPanel" textlink="">
      <xdr:nvSpPr>
        <xdr:cNvPr id="196" name="ShowEventsBtn" hidden="1"/>
        <xdr:cNvSpPr txBox="1"/>
      </xdr:nvSpPr>
      <xdr:spPr>
        <a:xfrm>
          <a:off x="3104736" y="509379"/>
          <a:ext cx="1097280" cy="210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 b="1" i="1" u="sng">
              <a:solidFill>
                <a:srgbClr val="0000FF"/>
              </a:solidFill>
            </a:rPr>
            <a:t>&lt;&lt; Show</a:t>
          </a:r>
          <a:r>
            <a:rPr lang="en-US" sz="1000" b="1" i="1" u="sng" baseline="0">
              <a:solidFill>
                <a:srgbClr val="0000FF"/>
              </a:solidFill>
            </a:rPr>
            <a:t> Events</a:t>
          </a:r>
          <a:endParaRPr lang="en-US" sz="1000" b="1" i="1" u="sng">
            <a:solidFill>
              <a:srgbClr val="0000FF"/>
            </a:solidFill>
          </a:endParaRPr>
        </a:p>
      </xdr:txBody>
    </xdr:sp>
    <xdr:clientData/>
  </xdr:twoCellAnchor>
  <xdr:twoCellAnchor editAs="oneCell">
    <xdr:from>
      <xdr:col>7</xdr:col>
      <xdr:colOff>265042</xdr:colOff>
      <xdr:row>2</xdr:row>
      <xdr:rowOff>16565</xdr:rowOff>
    </xdr:from>
    <xdr:to>
      <xdr:col>7</xdr:col>
      <xdr:colOff>676522</xdr:colOff>
      <xdr:row>2</xdr:row>
      <xdr:rowOff>173934</xdr:rowOff>
    </xdr:to>
    <xdr:sp macro="[0]!Hide_EventsPanel" textlink="">
      <xdr:nvSpPr>
        <xdr:cNvPr id="197" name="HideEventsBtn"/>
        <xdr:cNvSpPr txBox="1"/>
      </xdr:nvSpPr>
      <xdr:spPr>
        <a:xfrm>
          <a:off x="5360917" y="711890"/>
          <a:ext cx="411480" cy="1573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000" b="1" i="1" u="sng">
              <a:solidFill>
                <a:srgbClr val="0070C0"/>
              </a:solidFill>
            </a:rPr>
            <a:t>Hide&gt;&gt;</a:t>
          </a:r>
        </a:p>
      </xdr:txBody>
    </xdr:sp>
    <xdr:clientData/>
  </xdr:twoCellAnchor>
  <xdr:twoCellAnchor editAs="oneCell">
    <xdr:from>
      <xdr:col>17</xdr:col>
      <xdr:colOff>1250950</xdr:colOff>
      <xdr:row>9</xdr:row>
      <xdr:rowOff>60325</xdr:rowOff>
    </xdr:from>
    <xdr:to>
      <xdr:col>18</xdr:col>
      <xdr:colOff>1027392</xdr:colOff>
      <xdr:row>17</xdr:row>
      <xdr:rowOff>28575</xdr:rowOff>
    </xdr:to>
    <xdr:sp macro="Table_SelectToEdit" textlink="">
      <xdr:nvSpPr>
        <xdr:cNvPr id="288" name="Fixture_KITCHEN"/>
        <xdr:cNvSpPr/>
      </xdr:nvSpPr>
      <xdr:spPr>
        <a:xfrm>
          <a:off x="13195300" y="2108200"/>
          <a:ext cx="1548092" cy="1625600"/>
        </a:xfrm>
        <a:prstGeom prst="rect">
          <a:avLst/>
        </a:prstGeom>
        <a:solidFill>
          <a:srgbClr val="4F81BD">
            <a:alpha val="10980"/>
          </a:srgbClr>
        </a:solidFill>
        <a:ln w="127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accent1">
                  <a:lumMod val="75000"/>
                </a:schemeClr>
              </a:solidFill>
            </a:rPr>
            <a:t>KITCHEN</a:t>
          </a:r>
        </a:p>
      </xdr:txBody>
    </xdr:sp>
    <xdr:clientData/>
  </xdr:twoCellAnchor>
  <xdr:twoCellAnchor editAs="oneCell">
    <xdr:from>
      <xdr:col>17</xdr:col>
      <xdr:colOff>1695450</xdr:colOff>
      <xdr:row>3</xdr:row>
      <xdr:rowOff>50800</xdr:rowOff>
    </xdr:from>
    <xdr:to>
      <xdr:col>18</xdr:col>
      <xdr:colOff>1017867</xdr:colOff>
      <xdr:row>8</xdr:row>
      <xdr:rowOff>95250</xdr:rowOff>
    </xdr:to>
    <xdr:sp macro="Table_SelectToEdit" textlink="">
      <xdr:nvSpPr>
        <xdr:cNvPr id="289" name="Fixture_DRINK STATION"/>
        <xdr:cNvSpPr/>
      </xdr:nvSpPr>
      <xdr:spPr>
        <a:xfrm>
          <a:off x="13639800" y="955675"/>
          <a:ext cx="1094067" cy="996950"/>
        </a:xfrm>
        <a:prstGeom prst="rect">
          <a:avLst/>
        </a:prstGeom>
        <a:solidFill>
          <a:srgbClr val="4F81BD">
            <a:alpha val="10980"/>
          </a:srgbClr>
        </a:solidFill>
        <a:ln w="127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accent1">
                  <a:lumMod val="75000"/>
                </a:schemeClr>
              </a:solidFill>
            </a:rPr>
            <a:t>DRINK STATION</a:t>
          </a:r>
        </a:p>
      </xdr:txBody>
    </xdr:sp>
    <xdr:clientData/>
  </xdr:twoCellAnchor>
  <xdr:twoCellAnchor editAs="oneCell">
    <xdr:from>
      <xdr:col>18</xdr:col>
      <xdr:colOff>18013</xdr:colOff>
      <xdr:row>0</xdr:row>
      <xdr:rowOff>307176</xdr:rowOff>
    </xdr:from>
    <xdr:to>
      <xdr:col>18</xdr:col>
      <xdr:colOff>1010015</xdr:colOff>
      <xdr:row>1</xdr:row>
      <xdr:rowOff>40476</xdr:rowOff>
    </xdr:to>
    <xdr:grpSp>
      <xdr:nvGrpSpPr>
        <xdr:cNvPr id="426" name="AddEventBtn"/>
        <xdr:cNvGrpSpPr/>
      </xdr:nvGrpSpPr>
      <xdr:grpSpPr>
        <a:xfrm>
          <a:off x="15924763" y="307176"/>
          <a:ext cx="992002" cy="266700"/>
          <a:chOff x="1657349" y="2390775"/>
          <a:chExt cx="995723" cy="266700"/>
        </a:xfrm>
      </xdr:grpSpPr>
      <xdr:sp macro="[0]!Event_NewEvent" textlink="">
        <xdr:nvSpPr>
          <xdr:cNvPr id="427" name="Rectangle 426"/>
          <xdr:cNvSpPr/>
        </xdr:nvSpPr>
        <xdr:spPr>
          <a:xfrm>
            <a:off x="1657349" y="2390775"/>
            <a:ext cx="995723" cy="2667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0" i="0" u="none" strike="noStrike">
                <a:solidFill>
                  <a:schemeClr val="bg1"/>
                </a:solidFill>
                <a:latin typeface="Calibri"/>
                <a:cs typeface="Calibri"/>
              </a:rPr>
              <a:t>Add Event</a:t>
            </a:r>
          </a:p>
        </xdr:txBody>
      </xdr:sp>
      <xdr:pic macro="[0]!Event_NewEvent">
        <xdr:nvPicPr>
          <xdr:cNvPr id="428" name="Picture 427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6329" y="2418969"/>
            <a:ext cx="210312" cy="210312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18013</xdr:colOff>
      <xdr:row>1</xdr:row>
      <xdr:rowOff>88450</xdr:rowOff>
    </xdr:from>
    <xdr:to>
      <xdr:col>18</xdr:col>
      <xdr:colOff>1010015</xdr:colOff>
      <xdr:row>2</xdr:row>
      <xdr:rowOff>192528</xdr:rowOff>
    </xdr:to>
    <xdr:grpSp>
      <xdr:nvGrpSpPr>
        <xdr:cNvPr id="1045" name="SaveEventBtn"/>
        <xdr:cNvGrpSpPr/>
      </xdr:nvGrpSpPr>
      <xdr:grpSpPr>
        <a:xfrm>
          <a:off x="15924763" y="621850"/>
          <a:ext cx="992002" cy="266003"/>
          <a:chOff x="14337457" y="795100"/>
          <a:chExt cx="991073" cy="266236"/>
        </a:xfrm>
      </xdr:grpSpPr>
      <xdr:sp macro="[0]!Event_SaveUpdateEvent" textlink="">
        <xdr:nvSpPr>
          <xdr:cNvPr id="430" name="Rectangle 429"/>
          <xdr:cNvSpPr/>
        </xdr:nvSpPr>
        <xdr:spPr>
          <a:xfrm>
            <a:off x="14337457" y="795100"/>
            <a:ext cx="991073" cy="266236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0" i="0" u="none" strike="noStrike">
                <a:solidFill>
                  <a:schemeClr val="bg1"/>
                </a:solidFill>
                <a:latin typeface="Calibri"/>
                <a:cs typeface="Calibri"/>
              </a:rPr>
              <a:t>Save Event</a:t>
            </a:r>
          </a:p>
        </xdr:txBody>
      </xdr:sp>
      <xdr:pic macro="[0]!Event_SaveUpdateEvent">
        <xdr:nvPicPr>
          <xdr:cNvPr id="1044" name="Picture 1043"/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3369" t="14209" r="17700" b="18090"/>
          <a:stretch/>
        </xdr:blipFill>
        <xdr:spPr>
          <a:xfrm>
            <a:off x="14367500" y="829029"/>
            <a:ext cx="200423" cy="19837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13247</xdr:colOff>
      <xdr:row>2</xdr:row>
      <xdr:rowOff>28162</xdr:rowOff>
    </xdr:from>
    <xdr:to>
      <xdr:col>10</xdr:col>
      <xdr:colOff>27998</xdr:colOff>
      <xdr:row>13</xdr:row>
      <xdr:rowOff>241776</xdr:rowOff>
    </xdr:to>
    <xdr:grpSp>
      <xdr:nvGrpSpPr>
        <xdr:cNvPr id="86" name="TableDetailsGrp"/>
        <xdr:cNvGrpSpPr/>
      </xdr:nvGrpSpPr>
      <xdr:grpSpPr>
        <a:xfrm>
          <a:off x="5975897" y="723487"/>
          <a:ext cx="2262651" cy="2394839"/>
          <a:chOff x="3785147" y="723487"/>
          <a:chExt cx="2262651" cy="2394839"/>
        </a:xfrm>
      </xdr:grpSpPr>
      <xdr:sp macro="[0]!Hide_TablePanel" textlink="">
        <xdr:nvSpPr>
          <xdr:cNvPr id="198" name="HideTableDetailsBtn"/>
          <xdr:cNvSpPr txBox="1"/>
        </xdr:nvSpPr>
        <xdr:spPr>
          <a:xfrm>
            <a:off x="5636318" y="723487"/>
            <a:ext cx="411480" cy="154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000" b="1" i="1" u="sng">
                <a:solidFill>
                  <a:srgbClr val="0070C0"/>
                </a:solidFill>
              </a:rPr>
              <a:t>Hide&gt;&gt;</a:t>
            </a:r>
          </a:p>
        </xdr:txBody>
      </xdr:sp>
      <xdr:grpSp>
        <xdr:nvGrpSpPr>
          <xdr:cNvPr id="451" name="SaveTableBtn"/>
          <xdr:cNvGrpSpPr/>
        </xdr:nvGrpSpPr>
        <xdr:grpSpPr>
          <a:xfrm>
            <a:off x="4156622" y="2246038"/>
            <a:ext cx="1417319" cy="228600"/>
            <a:chOff x="14337456" y="795100"/>
            <a:chExt cx="1415993" cy="228800"/>
          </a:xfrm>
        </xdr:grpSpPr>
        <xdr:sp macro="[0]!Event_SaveUpdateTable" textlink="">
          <xdr:nvSpPr>
            <xdr:cNvPr id="452" name="Rectangle 451"/>
            <xdr:cNvSpPr/>
          </xdr:nvSpPr>
          <xdr:spPr>
            <a:xfrm>
              <a:off x="14337456" y="795100"/>
              <a:ext cx="1415993" cy="22880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Update Table Details</a:t>
              </a:r>
            </a:p>
          </xdr:txBody>
        </xdr:sp>
        <xdr:pic macro="[0]!Event_SaveUpdateTable">
          <xdr:nvPicPr>
            <xdr:cNvPr id="453" name="Picture 452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13369" t="14209" r="17700" b="18090"/>
            <a:stretch/>
          </xdr:blipFill>
          <xdr:spPr>
            <a:xfrm>
              <a:off x="14357984" y="819495"/>
              <a:ext cx="200423" cy="198379"/>
            </a:xfrm>
            <a:prstGeom prst="rect">
              <a:avLst/>
            </a:prstGeom>
          </xdr:spPr>
        </xdr:pic>
      </xdr:grpSp>
      <xdr:grpSp>
        <xdr:nvGrpSpPr>
          <xdr:cNvPr id="84" name="AddGuestBtn"/>
          <xdr:cNvGrpSpPr/>
        </xdr:nvGrpSpPr>
        <xdr:grpSpPr>
          <a:xfrm>
            <a:off x="5061497" y="2889726"/>
            <a:ext cx="914400" cy="228600"/>
            <a:chOff x="4909097" y="2884213"/>
            <a:chExt cx="914400" cy="228600"/>
          </a:xfrm>
        </xdr:grpSpPr>
        <xdr:sp macro="[0]!Table_AddGuest" textlink="">
          <xdr:nvSpPr>
            <xdr:cNvPr id="352" name="Rectangle 351"/>
            <xdr:cNvSpPr/>
          </xdr:nvSpPr>
          <xdr:spPr>
            <a:xfrm>
              <a:off x="4909097" y="2884213"/>
              <a:ext cx="914400" cy="22860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Add Guest</a:t>
              </a:r>
            </a:p>
          </xdr:txBody>
        </xdr:sp>
        <xdr:pic macro="[0]!Table_AddGuest">
          <xdr:nvPicPr>
            <xdr:cNvPr id="83" name="Picture 82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69151" y="2897929"/>
              <a:ext cx="199346" cy="201168"/>
            </a:xfrm>
            <a:prstGeom prst="rect">
              <a:avLst/>
            </a:prstGeom>
          </xdr:spPr>
        </xdr:pic>
      </xdr:grpSp>
      <xdr:grpSp>
        <xdr:nvGrpSpPr>
          <xdr:cNvPr id="85" name="RemoveGuestBtn"/>
          <xdr:cNvGrpSpPr/>
        </xdr:nvGrpSpPr>
        <xdr:grpSpPr>
          <a:xfrm>
            <a:off x="3785147" y="2889726"/>
            <a:ext cx="1143000" cy="228600"/>
            <a:chOff x="5061497" y="3038115"/>
            <a:chExt cx="1143000" cy="228600"/>
          </a:xfrm>
        </xdr:grpSpPr>
        <xdr:sp macro="[0]!Table_RemoveGuest" textlink="">
          <xdr:nvSpPr>
            <xdr:cNvPr id="356" name="Rectangle 355"/>
            <xdr:cNvSpPr/>
          </xdr:nvSpPr>
          <xdr:spPr>
            <a:xfrm>
              <a:off x="5061497" y="3038115"/>
              <a:ext cx="1143000" cy="22860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Remove</a:t>
              </a:r>
              <a:r>
                <a:rPr lang="en-US" sz="1000" b="1" i="0" u="none" strike="noStrike" baseline="0">
                  <a:solidFill>
                    <a:schemeClr val="bg1"/>
                  </a:solidFill>
                  <a:latin typeface="Calibri"/>
                  <a:cs typeface="Calibri"/>
                </a:rPr>
                <a:t> </a:t>
              </a:r>
              <a:r>
                <a:rPr lang="en-US" sz="10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t>Guest</a:t>
              </a:r>
            </a:p>
          </xdr:txBody>
        </xdr:sp>
        <xdr:pic macro="[0]!Table_RemoveGuest">
          <xdr:nvPicPr>
            <xdr:cNvPr id="80" name="Picture 7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43500" y="3051831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10</xdr:col>
      <xdr:colOff>127000</xdr:colOff>
      <xdr:row>3</xdr:row>
      <xdr:rowOff>127000</xdr:rowOff>
    </xdr:from>
    <xdr:to>
      <xdr:col>11</xdr:col>
      <xdr:colOff>505513</xdr:colOff>
      <xdr:row>7</xdr:row>
      <xdr:rowOff>35532</xdr:rowOff>
    </xdr:to>
    <xdr:grpSp>
      <xdr:nvGrpSpPr>
        <xdr:cNvPr id="746" name="Table1"/>
        <xdr:cNvGrpSpPr/>
      </xdr:nvGrpSpPr>
      <xdr:grpSpPr>
        <a:xfrm>
          <a:off x="8337550" y="1031875"/>
          <a:ext cx="1245288" cy="670532"/>
          <a:chOff x="7549056" y="4289535"/>
          <a:chExt cx="1250874" cy="663728"/>
        </a:xfrm>
        <a:solidFill>
          <a:schemeClr val="tx2">
            <a:lumMod val="75000"/>
          </a:schemeClr>
        </a:solidFill>
      </xdr:grpSpPr>
      <xdr:sp macro="Table_SelectToEdit" textlink="">
        <xdr:nvSpPr>
          <xdr:cNvPr id="747" name="Table1"/>
          <xdr:cNvSpPr/>
        </xdr:nvSpPr>
        <xdr:spPr>
          <a:xfrm>
            <a:off x="7713281" y="4441934"/>
            <a:ext cx="931479" cy="365760"/>
          </a:xfrm>
          <a:prstGeom prst="rect">
            <a:avLst/>
          </a:prstGeom>
          <a:solidFill>
            <a:srgbClr val="17375E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n>
                  <a:noFill/>
                </a:ln>
                <a:solidFill>
                  <a:srgbClr val="FFFFFF"/>
                </a:solidFill>
              </a:rPr>
              <a:t>1</a:t>
            </a:r>
          </a:p>
        </xdr:txBody>
      </xdr:sp>
      <xdr:sp macro="Table_SelectToEdit" textlink="">
        <xdr:nvSpPr>
          <xdr:cNvPr id="748" name="Table1"/>
          <xdr:cNvSpPr/>
        </xdr:nvSpPr>
        <xdr:spPr>
          <a:xfrm>
            <a:off x="7790794" y="4289535"/>
            <a:ext cx="183549" cy="182880"/>
          </a:xfrm>
          <a:prstGeom prst="ellipse">
            <a:avLst/>
          </a:prstGeom>
          <a:solidFill>
            <a:srgbClr val="17375E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FFFFFF"/>
              </a:solidFill>
            </a:endParaRPr>
          </a:p>
        </xdr:txBody>
      </xdr:sp>
      <xdr:sp macro="Table_SelectToEdit" textlink="">
        <xdr:nvSpPr>
          <xdr:cNvPr id="749" name="Table1"/>
          <xdr:cNvSpPr/>
        </xdr:nvSpPr>
        <xdr:spPr>
          <a:xfrm>
            <a:off x="8081405" y="4289535"/>
            <a:ext cx="183549" cy="182880"/>
          </a:xfrm>
          <a:prstGeom prst="ellipse">
            <a:avLst/>
          </a:prstGeom>
          <a:solidFill>
            <a:srgbClr val="17375E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FFFFFF"/>
              </a:solidFill>
            </a:endParaRPr>
          </a:p>
        </xdr:txBody>
      </xdr:sp>
      <xdr:sp macro="Table_SelectToEdit" textlink="">
        <xdr:nvSpPr>
          <xdr:cNvPr id="750" name="Table1"/>
          <xdr:cNvSpPr/>
        </xdr:nvSpPr>
        <xdr:spPr>
          <a:xfrm>
            <a:off x="8372016" y="4289535"/>
            <a:ext cx="183549" cy="182880"/>
          </a:xfrm>
          <a:prstGeom prst="ellipse">
            <a:avLst/>
          </a:prstGeom>
          <a:solidFill>
            <a:srgbClr val="17375E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FFFFFF"/>
              </a:solidFill>
            </a:endParaRPr>
          </a:p>
        </xdr:txBody>
      </xdr:sp>
      <xdr:sp macro="Table_SelectToEdit" textlink="">
        <xdr:nvSpPr>
          <xdr:cNvPr id="751" name="Table1"/>
          <xdr:cNvSpPr/>
        </xdr:nvSpPr>
        <xdr:spPr>
          <a:xfrm>
            <a:off x="7805245" y="4770383"/>
            <a:ext cx="183549" cy="182880"/>
          </a:xfrm>
          <a:prstGeom prst="ellipse">
            <a:avLst/>
          </a:prstGeom>
          <a:solidFill>
            <a:srgbClr val="17375E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FFFFFF"/>
              </a:solidFill>
            </a:endParaRPr>
          </a:p>
        </xdr:txBody>
      </xdr:sp>
      <xdr:sp macro="Table_SelectToEdit" textlink="">
        <xdr:nvSpPr>
          <xdr:cNvPr id="752" name="Table1"/>
          <xdr:cNvSpPr/>
        </xdr:nvSpPr>
        <xdr:spPr>
          <a:xfrm>
            <a:off x="8095856" y="4770383"/>
            <a:ext cx="183549" cy="182880"/>
          </a:xfrm>
          <a:prstGeom prst="ellipse">
            <a:avLst/>
          </a:prstGeom>
          <a:solidFill>
            <a:srgbClr val="17375E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FFFFFF"/>
              </a:solidFill>
            </a:endParaRPr>
          </a:p>
        </xdr:txBody>
      </xdr:sp>
      <xdr:sp macro="Table_SelectToEdit" textlink="">
        <xdr:nvSpPr>
          <xdr:cNvPr id="753" name="Table1"/>
          <xdr:cNvSpPr/>
        </xdr:nvSpPr>
        <xdr:spPr>
          <a:xfrm>
            <a:off x="8386467" y="4770383"/>
            <a:ext cx="183549" cy="182880"/>
          </a:xfrm>
          <a:prstGeom prst="ellipse">
            <a:avLst/>
          </a:prstGeom>
          <a:solidFill>
            <a:srgbClr val="17375E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FFFFFF"/>
              </a:solidFill>
            </a:endParaRPr>
          </a:p>
        </xdr:txBody>
      </xdr:sp>
      <xdr:sp macro="Table_SelectToEdit" textlink="">
        <xdr:nvSpPr>
          <xdr:cNvPr id="754" name="Table1"/>
          <xdr:cNvSpPr/>
        </xdr:nvSpPr>
        <xdr:spPr>
          <a:xfrm>
            <a:off x="7549056" y="4533374"/>
            <a:ext cx="183549" cy="182880"/>
          </a:xfrm>
          <a:prstGeom prst="ellipse">
            <a:avLst/>
          </a:prstGeom>
          <a:solidFill>
            <a:srgbClr val="17375E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FFFFFF"/>
              </a:solidFill>
            </a:endParaRPr>
          </a:p>
        </xdr:txBody>
      </xdr:sp>
      <xdr:sp macro="Table_SelectToEdit" textlink="">
        <xdr:nvSpPr>
          <xdr:cNvPr id="755" name="Table1"/>
          <xdr:cNvSpPr/>
        </xdr:nvSpPr>
        <xdr:spPr>
          <a:xfrm>
            <a:off x="8616381" y="4533374"/>
            <a:ext cx="183549" cy="182880"/>
          </a:xfrm>
          <a:prstGeom prst="ellipse">
            <a:avLst/>
          </a:prstGeom>
          <a:solidFill>
            <a:srgbClr val="17375E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FFFFFF"/>
              </a:solidFill>
            </a:endParaRPr>
          </a:p>
        </xdr:txBody>
      </xdr:sp>
    </xdr:grpSp>
    <xdr:clientData/>
  </xdr:twoCellAnchor>
  <xdr:twoCellAnchor editAs="oneCell">
    <xdr:from>
      <xdr:col>12</xdr:col>
      <xdr:colOff>22225</xdr:colOff>
      <xdr:row>3</xdr:row>
      <xdr:rowOff>88900</xdr:rowOff>
    </xdr:from>
    <xdr:to>
      <xdr:col>13</xdr:col>
      <xdr:colOff>555120</xdr:colOff>
      <xdr:row>7</xdr:row>
      <xdr:rowOff>97283</xdr:rowOff>
    </xdr:to>
    <xdr:grpSp>
      <xdr:nvGrpSpPr>
        <xdr:cNvPr id="770" name="Table2"/>
        <xdr:cNvGrpSpPr/>
      </xdr:nvGrpSpPr>
      <xdr:grpSpPr>
        <a:xfrm>
          <a:off x="9813925" y="993775"/>
          <a:ext cx="1771145" cy="770383"/>
          <a:chOff x="5446986" y="4177862"/>
          <a:chExt cx="1774553" cy="763579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771" name="Table2"/>
          <xdr:cNvSpPr/>
        </xdr:nvSpPr>
        <xdr:spPr>
          <a:xfrm>
            <a:off x="5603328" y="4328948"/>
            <a:ext cx="1463040" cy="457200"/>
          </a:xfrm>
          <a:prstGeom prst="rect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2</a:t>
            </a:r>
          </a:p>
        </xdr:txBody>
      </xdr:sp>
      <xdr:sp macro="Table_SelectToEdit" textlink="">
        <xdr:nvSpPr>
          <xdr:cNvPr id="772" name="Table2"/>
          <xdr:cNvSpPr/>
        </xdr:nvSpPr>
        <xdr:spPr>
          <a:xfrm>
            <a:off x="5675586" y="4177862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73" name="Table2"/>
          <xdr:cNvSpPr/>
        </xdr:nvSpPr>
        <xdr:spPr>
          <a:xfrm>
            <a:off x="5966197" y="4177862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74" name="Table2"/>
          <xdr:cNvSpPr/>
        </xdr:nvSpPr>
        <xdr:spPr>
          <a:xfrm>
            <a:off x="6256808" y="4177862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75" name="Table2"/>
          <xdr:cNvSpPr/>
        </xdr:nvSpPr>
        <xdr:spPr>
          <a:xfrm>
            <a:off x="6547419" y="417917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76" name="Table2"/>
          <xdr:cNvSpPr/>
        </xdr:nvSpPr>
        <xdr:spPr>
          <a:xfrm>
            <a:off x="6838030" y="417917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77" name="Table2"/>
          <xdr:cNvSpPr/>
        </xdr:nvSpPr>
        <xdr:spPr>
          <a:xfrm>
            <a:off x="5676899" y="4757247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78" name="Table2"/>
          <xdr:cNvSpPr/>
        </xdr:nvSpPr>
        <xdr:spPr>
          <a:xfrm>
            <a:off x="5967510" y="4757247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79" name="Table2"/>
          <xdr:cNvSpPr/>
        </xdr:nvSpPr>
        <xdr:spPr>
          <a:xfrm>
            <a:off x="6258121" y="4757247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80" name="Table2"/>
          <xdr:cNvSpPr/>
        </xdr:nvSpPr>
        <xdr:spPr>
          <a:xfrm>
            <a:off x="6548732" y="4758561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81" name="Table2"/>
          <xdr:cNvSpPr/>
        </xdr:nvSpPr>
        <xdr:spPr>
          <a:xfrm>
            <a:off x="6839343" y="4758561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82" name="Table2"/>
          <xdr:cNvSpPr/>
        </xdr:nvSpPr>
        <xdr:spPr>
          <a:xfrm>
            <a:off x="5446986" y="4466108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83" name="Table2"/>
          <xdr:cNvSpPr/>
        </xdr:nvSpPr>
        <xdr:spPr>
          <a:xfrm>
            <a:off x="7037990" y="4466108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13</xdr:col>
      <xdr:colOff>679450</xdr:colOff>
      <xdr:row>3</xdr:row>
      <xdr:rowOff>88900</xdr:rowOff>
    </xdr:from>
    <xdr:to>
      <xdr:col>16</xdr:col>
      <xdr:colOff>78870</xdr:colOff>
      <xdr:row>7</xdr:row>
      <xdr:rowOff>97283</xdr:rowOff>
    </xdr:to>
    <xdr:grpSp>
      <xdr:nvGrpSpPr>
        <xdr:cNvPr id="784" name="Table3"/>
        <xdr:cNvGrpSpPr/>
      </xdr:nvGrpSpPr>
      <xdr:grpSpPr>
        <a:xfrm>
          <a:off x="11709400" y="993775"/>
          <a:ext cx="1771145" cy="770383"/>
          <a:chOff x="5446986" y="4177862"/>
          <a:chExt cx="1774553" cy="763579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785" name="Table3"/>
          <xdr:cNvSpPr/>
        </xdr:nvSpPr>
        <xdr:spPr>
          <a:xfrm>
            <a:off x="5603328" y="4328948"/>
            <a:ext cx="1463040" cy="457200"/>
          </a:xfrm>
          <a:prstGeom prst="rect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3</a:t>
            </a:r>
          </a:p>
        </xdr:txBody>
      </xdr:sp>
      <xdr:sp macro="Table_SelectToEdit" textlink="">
        <xdr:nvSpPr>
          <xdr:cNvPr id="786" name="Table3"/>
          <xdr:cNvSpPr/>
        </xdr:nvSpPr>
        <xdr:spPr>
          <a:xfrm>
            <a:off x="5675586" y="4177862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87" name="Table3"/>
          <xdr:cNvSpPr/>
        </xdr:nvSpPr>
        <xdr:spPr>
          <a:xfrm>
            <a:off x="5966197" y="4177862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88" name="Table3"/>
          <xdr:cNvSpPr/>
        </xdr:nvSpPr>
        <xdr:spPr>
          <a:xfrm>
            <a:off x="6256808" y="4177862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89" name="Table3"/>
          <xdr:cNvSpPr/>
        </xdr:nvSpPr>
        <xdr:spPr>
          <a:xfrm>
            <a:off x="6547419" y="417917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90" name="Table3"/>
          <xdr:cNvSpPr/>
        </xdr:nvSpPr>
        <xdr:spPr>
          <a:xfrm>
            <a:off x="6838030" y="417917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91" name="Table3"/>
          <xdr:cNvSpPr/>
        </xdr:nvSpPr>
        <xdr:spPr>
          <a:xfrm>
            <a:off x="5676899" y="4757247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92" name="Table3"/>
          <xdr:cNvSpPr/>
        </xdr:nvSpPr>
        <xdr:spPr>
          <a:xfrm>
            <a:off x="5967510" y="4757247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93" name="Table3"/>
          <xdr:cNvSpPr/>
        </xdr:nvSpPr>
        <xdr:spPr>
          <a:xfrm>
            <a:off x="6258121" y="4757247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94" name="Table3"/>
          <xdr:cNvSpPr/>
        </xdr:nvSpPr>
        <xdr:spPr>
          <a:xfrm>
            <a:off x="6548732" y="4758561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95" name="Table3"/>
          <xdr:cNvSpPr/>
        </xdr:nvSpPr>
        <xdr:spPr>
          <a:xfrm>
            <a:off x="6839343" y="4758561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96" name="Table3"/>
          <xdr:cNvSpPr/>
        </xdr:nvSpPr>
        <xdr:spPr>
          <a:xfrm>
            <a:off x="5446986" y="4466108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797" name="Table3"/>
          <xdr:cNvSpPr/>
        </xdr:nvSpPr>
        <xdr:spPr>
          <a:xfrm>
            <a:off x="7037990" y="4466108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16</xdr:col>
      <xdr:colOff>298450</xdr:colOff>
      <xdr:row>3</xdr:row>
      <xdr:rowOff>136525</xdr:rowOff>
    </xdr:from>
    <xdr:to>
      <xdr:col>17</xdr:col>
      <xdr:colOff>810313</xdr:colOff>
      <xdr:row>7</xdr:row>
      <xdr:rowOff>45057</xdr:rowOff>
    </xdr:to>
    <xdr:grpSp>
      <xdr:nvGrpSpPr>
        <xdr:cNvPr id="798" name="Table4"/>
        <xdr:cNvGrpSpPr/>
      </xdr:nvGrpSpPr>
      <xdr:grpSpPr>
        <a:xfrm>
          <a:off x="13700125" y="1041400"/>
          <a:ext cx="1245288" cy="670532"/>
          <a:chOff x="7549056" y="4289535"/>
          <a:chExt cx="1250874" cy="663728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799" name="Table4"/>
          <xdr:cNvSpPr/>
        </xdr:nvSpPr>
        <xdr:spPr>
          <a:xfrm>
            <a:off x="7713281" y="4441934"/>
            <a:ext cx="931479" cy="365760"/>
          </a:xfrm>
          <a:prstGeom prst="rect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4</a:t>
            </a:r>
          </a:p>
        </xdr:txBody>
      </xdr:sp>
      <xdr:sp macro="Table_SelectToEdit" textlink="">
        <xdr:nvSpPr>
          <xdr:cNvPr id="800" name="Table4"/>
          <xdr:cNvSpPr/>
        </xdr:nvSpPr>
        <xdr:spPr>
          <a:xfrm>
            <a:off x="7790794" y="4289535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01" name="Table4"/>
          <xdr:cNvSpPr/>
        </xdr:nvSpPr>
        <xdr:spPr>
          <a:xfrm>
            <a:off x="8081405" y="4289535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02" name="Table4"/>
          <xdr:cNvSpPr/>
        </xdr:nvSpPr>
        <xdr:spPr>
          <a:xfrm>
            <a:off x="8372016" y="4289535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03" name="Table4"/>
          <xdr:cNvSpPr/>
        </xdr:nvSpPr>
        <xdr:spPr>
          <a:xfrm>
            <a:off x="7805245" y="4770383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04" name="Table4"/>
          <xdr:cNvSpPr/>
        </xdr:nvSpPr>
        <xdr:spPr>
          <a:xfrm>
            <a:off x="8095856" y="4770383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05" name="Table4"/>
          <xdr:cNvSpPr/>
        </xdr:nvSpPr>
        <xdr:spPr>
          <a:xfrm>
            <a:off x="8386467" y="4770383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06" name="Table4"/>
          <xdr:cNvSpPr/>
        </xdr:nvSpPr>
        <xdr:spPr>
          <a:xfrm>
            <a:off x="7549056" y="4533374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07" name="Table4"/>
          <xdr:cNvSpPr/>
        </xdr:nvSpPr>
        <xdr:spPr>
          <a:xfrm>
            <a:off x="8616381" y="4533374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10</xdr:col>
      <xdr:colOff>222250</xdr:colOff>
      <xdr:row>8</xdr:row>
      <xdr:rowOff>146050</xdr:rowOff>
    </xdr:from>
    <xdr:to>
      <xdr:col>11</xdr:col>
      <xdr:colOff>219503</xdr:colOff>
      <xdr:row>12</xdr:row>
      <xdr:rowOff>163190</xdr:rowOff>
    </xdr:to>
    <xdr:grpSp>
      <xdr:nvGrpSpPr>
        <xdr:cNvPr id="808" name="Table5"/>
        <xdr:cNvGrpSpPr/>
      </xdr:nvGrpSpPr>
      <xdr:grpSpPr>
        <a:xfrm>
          <a:off x="8432800" y="2003425"/>
          <a:ext cx="864028" cy="845815"/>
          <a:chOff x="5761409" y="1161869"/>
          <a:chExt cx="861082" cy="846376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809" name="Table5"/>
          <xdr:cNvSpPr/>
        </xdr:nvSpPr>
        <xdr:spPr>
          <a:xfrm>
            <a:off x="5914024" y="1308137"/>
            <a:ext cx="548640" cy="54864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5</a:t>
            </a:r>
          </a:p>
        </xdr:txBody>
      </xdr:sp>
      <xdr:sp macro="Table_SelectToEdit" textlink="">
        <xdr:nvSpPr>
          <xdr:cNvPr id="810" name="Table5"/>
          <xdr:cNvSpPr/>
        </xdr:nvSpPr>
        <xdr:spPr>
          <a:xfrm>
            <a:off x="6095128" y="1161869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11" name="Table5"/>
          <xdr:cNvSpPr/>
        </xdr:nvSpPr>
        <xdr:spPr>
          <a:xfrm>
            <a:off x="6095128" y="1825365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12" name="Table5"/>
          <xdr:cNvSpPr/>
        </xdr:nvSpPr>
        <xdr:spPr>
          <a:xfrm>
            <a:off x="6436058" y="1491017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13" name="Table5"/>
          <xdr:cNvSpPr/>
        </xdr:nvSpPr>
        <xdr:spPr>
          <a:xfrm>
            <a:off x="5761409" y="1491017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14" name="Table5"/>
          <xdr:cNvSpPr/>
        </xdr:nvSpPr>
        <xdr:spPr>
          <a:xfrm>
            <a:off x="5858052" y="1255727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15" name="Table5"/>
          <xdr:cNvSpPr/>
        </xdr:nvSpPr>
        <xdr:spPr>
          <a:xfrm>
            <a:off x="6331051" y="125944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16" name="Table5"/>
          <xdr:cNvSpPr/>
        </xdr:nvSpPr>
        <xdr:spPr>
          <a:xfrm>
            <a:off x="6339417" y="1723144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17" name="Table5"/>
          <xdr:cNvSpPr/>
        </xdr:nvSpPr>
        <xdr:spPr>
          <a:xfrm>
            <a:off x="5864558" y="1726863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12</xdr:col>
      <xdr:colOff>60325</xdr:colOff>
      <xdr:row>8</xdr:row>
      <xdr:rowOff>117475</xdr:rowOff>
    </xdr:from>
    <xdr:to>
      <xdr:col>12</xdr:col>
      <xdr:colOff>1108752</xdr:colOff>
      <xdr:row>13</xdr:row>
      <xdr:rowOff>89217</xdr:rowOff>
    </xdr:to>
    <xdr:grpSp>
      <xdr:nvGrpSpPr>
        <xdr:cNvPr id="818" name="Table6"/>
        <xdr:cNvGrpSpPr/>
      </xdr:nvGrpSpPr>
      <xdr:grpSpPr>
        <a:xfrm>
          <a:off x="9852025" y="1974850"/>
          <a:ext cx="1048427" cy="990917"/>
          <a:chOff x="4516189" y="1192528"/>
          <a:chExt cx="1040429" cy="992278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819" name="Table6"/>
          <xdr:cNvSpPr/>
        </xdr:nvSpPr>
        <xdr:spPr>
          <a:xfrm>
            <a:off x="4674380" y="1323005"/>
            <a:ext cx="731520" cy="73152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6</a:t>
            </a:r>
          </a:p>
        </xdr:txBody>
      </xdr:sp>
      <xdr:sp macro="Table_SelectToEdit" textlink="">
        <xdr:nvSpPr>
          <xdr:cNvPr id="820" name="Table6"/>
          <xdr:cNvSpPr/>
        </xdr:nvSpPr>
        <xdr:spPr>
          <a:xfrm>
            <a:off x="4801472" y="120275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21" name="Table6"/>
          <xdr:cNvSpPr/>
        </xdr:nvSpPr>
        <xdr:spPr>
          <a:xfrm>
            <a:off x="4596105" y="135515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22" name="Table6"/>
          <xdr:cNvSpPr/>
        </xdr:nvSpPr>
        <xdr:spPr>
          <a:xfrm>
            <a:off x="4516189" y="159583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23" name="Table6"/>
          <xdr:cNvSpPr/>
        </xdr:nvSpPr>
        <xdr:spPr>
          <a:xfrm>
            <a:off x="5070031" y="1192528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24" name="Table6"/>
          <xdr:cNvSpPr/>
        </xdr:nvSpPr>
        <xdr:spPr>
          <a:xfrm>
            <a:off x="5301421" y="136351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25" name="Table6"/>
          <xdr:cNvSpPr/>
        </xdr:nvSpPr>
        <xdr:spPr>
          <a:xfrm>
            <a:off x="5370185" y="162278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26" name="Table6"/>
          <xdr:cNvSpPr/>
        </xdr:nvSpPr>
        <xdr:spPr>
          <a:xfrm>
            <a:off x="5285621" y="1854174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27" name="Table6"/>
          <xdr:cNvSpPr/>
        </xdr:nvSpPr>
        <xdr:spPr>
          <a:xfrm>
            <a:off x="5075606" y="200192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00</a:t>
            </a:r>
          </a:p>
        </xdr:txBody>
      </xdr:sp>
      <xdr:sp macro="Table_SelectToEdit" textlink="">
        <xdr:nvSpPr>
          <xdr:cNvPr id="828" name="Table6"/>
          <xdr:cNvSpPr/>
        </xdr:nvSpPr>
        <xdr:spPr>
          <a:xfrm>
            <a:off x="4591461" y="182908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29" name="Table6"/>
          <xdr:cNvSpPr/>
        </xdr:nvSpPr>
        <xdr:spPr>
          <a:xfrm>
            <a:off x="4791252" y="1987058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13</xdr:col>
      <xdr:colOff>222250</xdr:colOff>
      <xdr:row>8</xdr:row>
      <xdr:rowOff>107950</xdr:rowOff>
    </xdr:from>
    <xdr:to>
      <xdr:col>14</xdr:col>
      <xdr:colOff>3852</xdr:colOff>
      <xdr:row>13</xdr:row>
      <xdr:rowOff>79692</xdr:rowOff>
    </xdr:to>
    <xdr:grpSp>
      <xdr:nvGrpSpPr>
        <xdr:cNvPr id="830" name="Table7"/>
        <xdr:cNvGrpSpPr/>
      </xdr:nvGrpSpPr>
      <xdr:grpSpPr>
        <a:xfrm>
          <a:off x="11252200" y="1965325"/>
          <a:ext cx="1048427" cy="990917"/>
          <a:chOff x="4516189" y="1192528"/>
          <a:chExt cx="1040429" cy="992278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831" name="Table7"/>
          <xdr:cNvSpPr/>
        </xdr:nvSpPr>
        <xdr:spPr>
          <a:xfrm>
            <a:off x="4674380" y="1323005"/>
            <a:ext cx="731520" cy="73152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7</a:t>
            </a:r>
          </a:p>
        </xdr:txBody>
      </xdr:sp>
      <xdr:sp macro="Table_SelectToEdit" textlink="">
        <xdr:nvSpPr>
          <xdr:cNvPr id="832" name="Table7"/>
          <xdr:cNvSpPr/>
        </xdr:nvSpPr>
        <xdr:spPr>
          <a:xfrm>
            <a:off x="4801472" y="120275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33" name="Table7"/>
          <xdr:cNvSpPr/>
        </xdr:nvSpPr>
        <xdr:spPr>
          <a:xfrm>
            <a:off x="4596105" y="135515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34" name="Table7"/>
          <xdr:cNvSpPr/>
        </xdr:nvSpPr>
        <xdr:spPr>
          <a:xfrm>
            <a:off x="4516189" y="159583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35" name="Table7"/>
          <xdr:cNvSpPr/>
        </xdr:nvSpPr>
        <xdr:spPr>
          <a:xfrm>
            <a:off x="5070031" y="1192528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36" name="Table7"/>
          <xdr:cNvSpPr/>
        </xdr:nvSpPr>
        <xdr:spPr>
          <a:xfrm>
            <a:off x="5301421" y="136351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37" name="Table7"/>
          <xdr:cNvSpPr/>
        </xdr:nvSpPr>
        <xdr:spPr>
          <a:xfrm>
            <a:off x="5370185" y="162278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38" name="Table7"/>
          <xdr:cNvSpPr/>
        </xdr:nvSpPr>
        <xdr:spPr>
          <a:xfrm>
            <a:off x="5285621" y="1854174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39" name="Table7"/>
          <xdr:cNvSpPr/>
        </xdr:nvSpPr>
        <xdr:spPr>
          <a:xfrm>
            <a:off x="5075606" y="200192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00</a:t>
            </a:r>
          </a:p>
        </xdr:txBody>
      </xdr:sp>
      <xdr:sp macro="Table_SelectToEdit" textlink="">
        <xdr:nvSpPr>
          <xdr:cNvPr id="840" name="Table7"/>
          <xdr:cNvSpPr/>
        </xdr:nvSpPr>
        <xdr:spPr>
          <a:xfrm>
            <a:off x="4591461" y="182908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41" name="Table7"/>
          <xdr:cNvSpPr/>
        </xdr:nvSpPr>
        <xdr:spPr>
          <a:xfrm>
            <a:off x="4791252" y="1987058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14</xdr:col>
      <xdr:colOff>441325</xdr:colOff>
      <xdr:row>8</xdr:row>
      <xdr:rowOff>69850</xdr:rowOff>
    </xdr:from>
    <xdr:to>
      <xdr:col>16</xdr:col>
      <xdr:colOff>384852</xdr:colOff>
      <xdr:row>13</xdr:row>
      <xdr:rowOff>41592</xdr:rowOff>
    </xdr:to>
    <xdr:grpSp>
      <xdr:nvGrpSpPr>
        <xdr:cNvPr id="842" name="Table8"/>
        <xdr:cNvGrpSpPr/>
      </xdr:nvGrpSpPr>
      <xdr:grpSpPr>
        <a:xfrm>
          <a:off x="12738100" y="1927225"/>
          <a:ext cx="1048427" cy="990917"/>
          <a:chOff x="4516189" y="1192528"/>
          <a:chExt cx="1040429" cy="992278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843" name="Table8"/>
          <xdr:cNvSpPr/>
        </xdr:nvSpPr>
        <xdr:spPr>
          <a:xfrm>
            <a:off x="4674380" y="1323005"/>
            <a:ext cx="731520" cy="73152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8</a:t>
            </a:r>
          </a:p>
        </xdr:txBody>
      </xdr:sp>
      <xdr:sp macro="Table_SelectToEdit" textlink="">
        <xdr:nvSpPr>
          <xdr:cNvPr id="844" name="Table8"/>
          <xdr:cNvSpPr/>
        </xdr:nvSpPr>
        <xdr:spPr>
          <a:xfrm>
            <a:off x="4801472" y="120275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45" name="Table8"/>
          <xdr:cNvSpPr/>
        </xdr:nvSpPr>
        <xdr:spPr>
          <a:xfrm>
            <a:off x="4596105" y="135515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46" name="Table8"/>
          <xdr:cNvSpPr/>
        </xdr:nvSpPr>
        <xdr:spPr>
          <a:xfrm>
            <a:off x="4516189" y="159583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47" name="Table8"/>
          <xdr:cNvSpPr/>
        </xdr:nvSpPr>
        <xdr:spPr>
          <a:xfrm>
            <a:off x="5070031" y="1192528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48" name="Table8"/>
          <xdr:cNvSpPr/>
        </xdr:nvSpPr>
        <xdr:spPr>
          <a:xfrm>
            <a:off x="5301421" y="136351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49" name="Table8"/>
          <xdr:cNvSpPr/>
        </xdr:nvSpPr>
        <xdr:spPr>
          <a:xfrm>
            <a:off x="5370185" y="162278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50" name="Table8"/>
          <xdr:cNvSpPr/>
        </xdr:nvSpPr>
        <xdr:spPr>
          <a:xfrm>
            <a:off x="5285621" y="1854174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51" name="Table8"/>
          <xdr:cNvSpPr/>
        </xdr:nvSpPr>
        <xdr:spPr>
          <a:xfrm>
            <a:off x="5075606" y="200192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00</a:t>
            </a:r>
          </a:p>
        </xdr:txBody>
      </xdr:sp>
      <xdr:sp macro="Table_SelectToEdit" textlink="">
        <xdr:nvSpPr>
          <xdr:cNvPr id="852" name="Table8"/>
          <xdr:cNvSpPr/>
        </xdr:nvSpPr>
        <xdr:spPr>
          <a:xfrm>
            <a:off x="4591461" y="182908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53" name="Table8"/>
          <xdr:cNvSpPr/>
        </xdr:nvSpPr>
        <xdr:spPr>
          <a:xfrm>
            <a:off x="4791252" y="1987058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16</xdr:col>
      <xdr:colOff>641350</xdr:colOff>
      <xdr:row>8</xdr:row>
      <xdr:rowOff>127000</xdr:rowOff>
    </xdr:from>
    <xdr:to>
      <xdr:col>17</xdr:col>
      <xdr:colOff>771953</xdr:colOff>
      <xdr:row>12</xdr:row>
      <xdr:rowOff>144140</xdr:rowOff>
    </xdr:to>
    <xdr:grpSp>
      <xdr:nvGrpSpPr>
        <xdr:cNvPr id="854" name="Table9"/>
        <xdr:cNvGrpSpPr/>
      </xdr:nvGrpSpPr>
      <xdr:grpSpPr>
        <a:xfrm>
          <a:off x="14043025" y="1984375"/>
          <a:ext cx="864028" cy="845815"/>
          <a:chOff x="5761409" y="1161869"/>
          <a:chExt cx="861082" cy="846376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855" name="Table9"/>
          <xdr:cNvSpPr/>
        </xdr:nvSpPr>
        <xdr:spPr>
          <a:xfrm>
            <a:off x="5914024" y="1308137"/>
            <a:ext cx="548640" cy="54864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9</a:t>
            </a:r>
          </a:p>
        </xdr:txBody>
      </xdr:sp>
      <xdr:sp macro="Table_SelectToEdit" textlink="">
        <xdr:nvSpPr>
          <xdr:cNvPr id="856" name="Table9"/>
          <xdr:cNvSpPr/>
        </xdr:nvSpPr>
        <xdr:spPr>
          <a:xfrm>
            <a:off x="6095128" y="1161869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57" name="Table9"/>
          <xdr:cNvSpPr/>
        </xdr:nvSpPr>
        <xdr:spPr>
          <a:xfrm>
            <a:off x="6095128" y="1825365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58" name="Table9"/>
          <xdr:cNvSpPr/>
        </xdr:nvSpPr>
        <xdr:spPr>
          <a:xfrm>
            <a:off x="6436058" y="1491017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59" name="Table9"/>
          <xdr:cNvSpPr/>
        </xdr:nvSpPr>
        <xdr:spPr>
          <a:xfrm>
            <a:off x="5761409" y="1491017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60" name="Table9"/>
          <xdr:cNvSpPr/>
        </xdr:nvSpPr>
        <xdr:spPr>
          <a:xfrm>
            <a:off x="5858052" y="1255727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61" name="Table9"/>
          <xdr:cNvSpPr/>
        </xdr:nvSpPr>
        <xdr:spPr>
          <a:xfrm>
            <a:off x="6331051" y="125944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62" name="Table9"/>
          <xdr:cNvSpPr/>
        </xdr:nvSpPr>
        <xdr:spPr>
          <a:xfrm>
            <a:off x="6339417" y="1723144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63" name="Table9"/>
          <xdr:cNvSpPr/>
        </xdr:nvSpPr>
        <xdr:spPr>
          <a:xfrm>
            <a:off x="5864558" y="1726863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10</xdr:col>
      <xdr:colOff>269875</xdr:colOff>
      <xdr:row>15</xdr:row>
      <xdr:rowOff>65324</xdr:rowOff>
    </xdr:from>
    <xdr:to>
      <xdr:col>11</xdr:col>
      <xdr:colOff>377122</xdr:colOff>
      <xdr:row>20</xdr:row>
      <xdr:rowOff>45079</xdr:rowOff>
    </xdr:to>
    <xdr:grpSp>
      <xdr:nvGrpSpPr>
        <xdr:cNvPr id="864" name="Table10"/>
        <xdr:cNvGrpSpPr/>
      </xdr:nvGrpSpPr>
      <xdr:grpSpPr>
        <a:xfrm>
          <a:off x="8480425" y="3389549"/>
          <a:ext cx="974022" cy="932255"/>
          <a:chOff x="4556235" y="2693276"/>
          <a:chExt cx="970511" cy="933055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865" name="Table10"/>
          <xdr:cNvSpPr/>
        </xdr:nvSpPr>
        <xdr:spPr>
          <a:xfrm>
            <a:off x="4724401" y="2839107"/>
            <a:ext cx="640080" cy="640080"/>
          </a:xfrm>
          <a:prstGeom prst="rect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10</a:t>
            </a:r>
          </a:p>
        </xdr:txBody>
      </xdr:sp>
      <xdr:sp macro="Table_SelectToEdit" textlink="">
        <xdr:nvSpPr>
          <xdr:cNvPr id="866" name="Table10"/>
          <xdr:cNvSpPr/>
        </xdr:nvSpPr>
        <xdr:spPr>
          <a:xfrm>
            <a:off x="4801914" y="269327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67" name="Table10"/>
          <xdr:cNvSpPr/>
        </xdr:nvSpPr>
        <xdr:spPr>
          <a:xfrm>
            <a:off x="5097517" y="269327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68" name="Table10"/>
          <xdr:cNvSpPr/>
        </xdr:nvSpPr>
        <xdr:spPr>
          <a:xfrm>
            <a:off x="4816366" y="3443451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69" name="Table10"/>
          <xdr:cNvSpPr/>
        </xdr:nvSpPr>
        <xdr:spPr>
          <a:xfrm>
            <a:off x="5111969" y="3443451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70" name="Table10"/>
          <xdr:cNvSpPr/>
        </xdr:nvSpPr>
        <xdr:spPr>
          <a:xfrm>
            <a:off x="5343197" y="2921219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71" name="Table10"/>
          <xdr:cNvSpPr/>
        </xdr:nvSpPr>
        <xdr:spPr>
          <a:xfrm>
            <a:off x="5343197" y="3191860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72" name="Table10"/>
          <xdr:cNvSpPr/>
        </xdr:nvSpPr>
        <xdr:spPr>
          <a:xfrm>
            <a:off x="4556235" y="2921219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73" name="Table10"/>
          <xdr:cNvSpPr/>
        </xdr:nvSpPr>
        <xdr:spPr>
          <a:xfrm>
            <a:off x="4556235" y="3191860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12</xdr:col>
      <xdr:colOff>289672</xdr:colOff>
      <xdr:row>14</xdr:row>
      <xdr:rowOff>117475</xdr:rowOff>
    </xdr:from>
    <xdr:to>
      <xdr:col>13</xdr:col>
      <xdr:colOff>262448</xdr:colOff>
      <xdr:row>20</xdr:row>
      <xdr:rowOff>183428</xdr:rowOff>
    </xdr:to>
    <xdr:grpSp>
      <xdr:nvGrpSpPr>
        <xdr:cNvPr id="874" name="Table11"/>
        <xdr:cNvGrpSpPr/>
      </xdr:nvGrpSpPr>
      <xdr:grpSpPr>
        <a:xfrm>
          <a:off x="10081372" y="3251200"/>
          <a:ext cx="1211026" cy="1208953"/>
          <a:chOff x="3166242" y="2562553"/>
          <a:chExt cx="1222759" cy="1208953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875" name="Table11"/>
          <xdr:cNvSpPr/>
        </xdr:nvSpPr>
        <xdr:spPr>
          <a:xfrm>
            <a:off x="3323897" y="2712983"/>
            <a:ext cx="917745" cy="914400"/>
          </a:xfrm>
          <a:prstGeom prst="rect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11</a:t>
            </a:r>
          </a:p>
        </xdr:txBody>
      </xdr:sp>
      <xdr:sp macro="Table_SelectToEdit" textlink="">
        <xdr:nvSpPr>
          <xdr:cNvPr id="876" name="Table11"/>
          <xdr:cNvSpPr/>
        </xdr:nvSpPr>
        <xdr:spPr>
          <a:xfrm>
            <a:off x="3386959" y="2562553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77" name="Table11"/>
          <xdr:cNvSpPr/>
        </xdr:nvSpPr>
        <xdr:spPr>
          <a:xfrm>
            <a:off x="3682562" y="2562553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78" name="Table11"/>
          <xdr:cNvSpPr/>
        </xdr:nvSpPr>
        <xdr:spPr>
          <a:xfrm>
            <a:off x="3978165" y="2562553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79" name="Table11"/>
          <xdr:cNvSpPr/>
        </xdr:nvSpPr>
        <xdr:spPr>
          <a:xfrm>
            <a:off x="3386959" y="358862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80" name="Table11"/>
          <xdr:cNvSpPr/>
        </xdr:nvSpPr>
        <xdr:spPr>
          <a:xfrm>
            <a:off x="3684532" y="358862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81" name="Table11"/>
          <xdr:cNvSpPr/>
        </xdr:nvSpPr>
        <xdr:spPr>
          <a:xfrm>
            <a:off x="3978165" y="358862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82" name="Table11"/>
          <xdr:cNvSpPr/>
        </xdr:nvSpPr>
        <xdr:spPr>
          <a:xfrm>
            <a:off x="3166242" y="2813488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83" name="Table11"/>
          <xdr:cNvSpPr/>
        </xdr:nvSpPr>
        <xdr:spPr>
          <a:xfrm>
            <a:off x="3166242" y="3084129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84" name="Table11"/>
          <xdr:cNvSpPr/>
        </xdr:nvSpPr>
        <xdr:spPr>
          <a:xfrm>
            <a:off x="3166242" y="3354770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85" name="Table11"/>
          <xdr:cNvSpPr/>
        </xdr:nvSpPr>
        <xdr:spPr>
          <a:xfrm>
            <a:off x="4205452" y="2808233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86" name="Table11"/>
          <xdr:cNvSpPr/>
        </xdr:nvSpPr>
        <xdr:spPr>
          <a:xfrm>
            <a:off x="4205452" y="3078874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87" name="Table11"/>
          <xdr:cNvSpPr/>
        </xdr:nvSpPr>
        <xdr:spPr>
          <a:xfrm>
            <a:off x="4205452" y="3349515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13</xdr:col>
      <xdr:colOff>889373</xdr:colOff>
      <xdr:row>14</xdr:row>
      <xdr:rowOff>117475</xdr:rowOff>
    </xdr:from>
    <xdr:to>
      <xdr:col>15</xdr:col>
      <xdr:colOff>33474</xdr:colOff>
      <xdr:row>20</xdr:row>
      <xdr:rowOff>183428</xdr:rowOff>
    </xdr:to>
    <xdr:grpSp>
      <xdr:nvGrpSpPr>
        <xdr:cNvPr id="888" name="Table12"/>
        <xdr:cNvGrpSpPr/>
      </xdr:nvGrpSpPr>
      <xdr:grpSpPr>
        <a:xfrm>
          <a:off x="11919323" y="3251200"/>
          <a:ext cx="1211026" cy="1208953"/>
          <a:chOff x="3166242" y="2562553"/>
          <a:chExt cx="1222759" cy="1208953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889" name="Table12"/>
          <xdr:cNvSpPr/>
        </xdr:nvSpPr>
        <xdr:spPr>
          <a:xfrm>
            <a:off x="3323897" y="2712983"/>
            <a:ext cx="917745" cy="914400"/>
          </a:xfrm>
          <a:prstGeom prst="rect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12</a:t>
            </a:r>
          </a:p>
        </xdr:txBody>
      </xdr:sp>
      <xdr:sp macro="Table_SelectToEdit" textlink="">
        <xdr:nvSpPr>
          <xdr:cNvPr id="890" name="Table12"/>
          <xdr:cNvSpPr/>
        </xdr:nvSpPr>
        <xdr:spPr>
          <a:xfrm>
            <a:off x="3386959" y="2562553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91" name="Table12"/>
          <xdr:cNvSpPr/>
        </xdr:nvSpPr>
        <xdr:spPr>
          <a:xfrm>
            <a:off x="3682562" y="2562553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92" name="Table12"/>
          <xdr:cNvSpPr/>
        </xdr:nvSpPr>
        <xdr:spPr>
          <a:xfrm>
            <a:off x="3978165" y="2562553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93" name="Table12"/>
          <xdr:cNvSpPr/>
        </xdr:nvSpPr>
        <xdr:spPr>
          <a:xfrm>
            <a:off x="3386959" y="358862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94" name="Table12"/>
          <xdr:cNvSpPr/>
        </xdr:nvSpPr>
        <xdr:spPr>
          <a:xfrm>
            <a:off x="3684532" y="358862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95" name="Table12"/>
          <xdr:cNvSpPr/>
        </xdr:nvSpPr>
        <xdr:spPr>
          <a:xfrm>
            <a:off x="3978165" y="358862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96" name="Table12"/>
          <xdr:cNvSpPr/>
        </xdr:nvSpPr>
        <xdr:spPr>
          <a:xfrm>
            <a:off x="3166242" y="2813488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97" name="Table12"/>
          <xdr:cNvSpPr/>
        </xdr:nvSpPr>
        <xdr:spPr>
          <a:xfrm>
            <a:off x="3166242" y="3084129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98" name="Table12"/>
          <xdr:cNvSpPr/>
        </xdr:nvSpPr>
        <xdr:spPr>
          <a:xfrm>
            <a:off x="3166242" y="3354770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899" name="Table12"/>
          <xdr:cNvSpPr/>
        </xdr:nvSpPr>
        <xdr:spPr>
          <a:xfrm>
            <a:off x="4205452" y="2808233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900" name="Table12"/>
          <xdr:cNvSpPr/>
        </xdr:nvSpPr>
        <xdr:spPr>
          <a:xfrm>
            <a:off x="4205452" y="3078874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901" name="Table12"/>
          <xdr:cNvSpPr/>
        </xdr:nvSpPr>
        <xdr:spPr>
          <a:xfrm>
            <a:off x="4205452" y="3349515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16</xdr:col>
      <xdr:colOff>355600</xdr:colOff>
      <xdr:row>15</xdr:row>
      <xdr:rowOff>65324</xdr:rowOff>
    </xdr:from>
    <xdr:to>
      <xdr:col>17</xdr:col>
      <xdr:colOff>596197</xdr:colOff>
      <xdr:row>20</xdr:row>
      <xdr:rowOff>45079</xdr:rowOff>
    </xdr:to>
    <xdr:grpSp>
      <xdr:nvGrpSpPr>
        <xdr:cNvPr id="914" name="Table13"/>
        <xdr:cNvGrpSpPr/>
      </xdr:nvGrpSpPr>
      <xdr:grpSpPr>
        <a:xfrm>
          <a:off x="13757275" y="3389549"/>
          <a:ext cx="974022" cy="932255"/>
          <a:chOff x="4556235" y="2693276"/>
          <a:chExt cx="970511" cy="933055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915" name="Table13"/>
          <xdr:cNvSpPr/>
        </xdr:nvSpPr>
        <xdr:spPr>
          <a:xfrm>
            <a:off x="4724401" y="2839107"/>
            <a:ext cx="640080" cy="640080"/>
          </a:xfrm>
          <a:prstGeom prst="rect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n>
                  <a:noFill/>
                </a:ln>
                <a:solidFill>
                  <a:srgbClr val="376092"/>
                </a:solidFill>
              </a:rPr>
              <a:t>13</a:t>
            </a:r>
          </a:p>
        </xdr:txBody>
      </xdr:sp>
      <xdr:sp macro="Table_SelectToEdit" textlink="">
        <xdr:nvSpPr>
          <xdr:cNvPr id="916" name="Table13"/>
          <xdr:cNvSpPr/>
        </xdr:nvSpPr>
        <xdr:spPr>
          <a:xfrm>
            <a:off x="4801914" y="269327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917" name="Table13"/>
          <xdr:cNvSpPr/>
        </xdr:nvSpPr>
        <xdr:spPr>
          <a:xfrm>
            <a:off x="5097517" y="269327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918" name="Table13"/>
          <xdr:cNvSpPr/>
        </xdr:nvSpPr>
        <xdr:spPr>
          <a:xfrm>
            <a:off x="4816366" y="3443451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919" name="Table13"/>
          <xdr:cNvSpPr/>
        </xdr:nvSpPr>
        <xdr:spPr>
          <a:xfrm>
            <a:off x="5111969" y="3443451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920" name="Table13"/>
          <xdr:cNvSpPr/>
        </xdr:nvSpPr>
        <xdr:spPr>
          <a:xfrm>
            <a:off x="5343197" y="2921219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921" name="Table13"/>
          <xdr:cNvSpPr/>
        </xdr:nvSpPr>
        <xdr:spPr>
          <a:xfrm>
            <a:off x="5343197" y="3191860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922" name="Table13"/>
          <xdr:cNvSpPr/>
        </xdr:nvSpPr>
        <xdr:spPr>
          <a:xfrm>
            <a:off x="4556235" y="2921219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923" name="Table13"/>
          <xdr:cNvSpPr/>
        </xdr:nvSpPr>
        <xdr:spPr>
          <a:xfrm>
            <a:off x="4556235" y="3191860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ln>
                <a:noFill/>
              </a:ln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10</xdr:col>
      <xdr:colOff>279400</xdr:colOff>
      <xdr:row>22</xdr:row>
      <xdr:rowOff>117475</xdr:rowOff>
    </xdr:from>
    <xdr:to>
      <xdr:col>12</xdr:col>
      <xdr:colOff>469395</xdr:colOff>
      <xdr:row>26</xdr:row>
      <xdr:rowOff>125858</xdr:rowOff>
    </xdr:to>
    <xdr:grpSp>
      <xdr:nvGrpSpPr>
        <xdr:cNvPr id="365" name="Table14"/>
        <xdr:cNvGrpSpPr/>
      </xdr:nvGrpSpPr>
      <xdr:grpSpPr>
        <a:xfrm>
          <a:off x="8489950" y="4775200"/>
          <a:ext cx="1771145" cy="770383"/>
          <a:chOff x="5446986" y="4177862"/>
          <a:chExt cx="1774553" cy="763579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366" name="Table14"/>
          <xdr:cNvSpPr/>
        </xdr:nvSpPr>
        <xdr:spPr>
          <a:xfrm>
            <a:off x="5603328" y="4328948"/>
            <a:ext cx="1463040" cy="457200"/>
          </a:xfrm>
          <a:prstGeom prst="rect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rgbClr val="376092"/>
                </a:solidFill>
              </a:rPr>
              <a:t>14</a:t>
            </a:r>
          </a:p>
        </xdr:txBody>
      </xdr:sp>
      <xdr:sp macro="Table_SelectToEdit" textlink="">
        <xdr:nvSpPr>
          <xdr:cNvPr id="367" name="Table14"/>
          <xdr:cNvSpPr/>
        </xdr:nvSpPr>
        <xdr:spPr>
          <a:xfrm>
            <a:off x="5675586" y="4177862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68" name="Table14"/>
          <xdr:cNvSpPr/>
        </xdr:nvSpPr>
        <xdr:spPr>
          <a:xfrm>
            <a:off x="5966197" y="4177862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69" name="Table14"/>
          <xdr:cNvSpPr/>
        </xdr:nvSpPr>
        <xdr:spPr>
          <a:xfrm>
            <a:off x="6256808" y="4177862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70" name="Table14"/>
          <xdr:cNvSpPr/>
        </xdr:nvSpPr>
        <xdr:spPr>
          <a:xfrm>
            <a:off x="6547419" y="417917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71" name="Table14"/>
          <xdr:cNvSpPr/>
        </xdr:nvSpPr>
        <xdr:spPr>
          <a:xfrm>
            <a:off x="6838030" y="4179176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72" name="Table14"/>
          <xdr:cNvSpPr/>
        </xdr:nvSpPr>
        <xdr:spPr>
          <a:xfrm>
            <a:off x="5676899" y="4757247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73" name="Table14"/>
          <xdr:cNvSpPr/>
        </xdr:nvSpPr>
        <xdr:spPr>
          <a:xfrm>
            <a:off x="5967510" y="4757247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74" name="Table14"/>
          <xdr:cNvSpPr/>
        </xdr:nvSpPr>
        <xdr:spPr>
          <a:xfrm>
            <a:off x="6258121" y="4757247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75" name="Table14"/>
          <xdr:cNvSpPr/>
        </xdr:nvSpPr>
        <xdr:spPr>
          <a:xfrm>
            <a:off x="6548732" y="4758561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76" name="Table14"/>
          <xdr:cNvSpPr/>
        </xdr:nvSpPr>
        <xdr:spPr>
          <a:xfrm>
            <a:off x="6839343" y="4758561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77" name="Table14"/>
          <xdr:cNvSpPr/>
        </xdr:nvSpPr>
        <xdr:spPr>
          <a:xfrm>
            <a:off x="5446986" y="4466108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78" name="Table14"/>
          <xdr:cNvSpPr/>
        </xdr:nvSpPr>
        <xdr:spPr>
          <a:xfrm>
            <a:off x="7037990" y="4466108"/>
            <a:ext cx="183549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13</xdr:col>
      <xdr:colOff>146050</xdr:colOff>
      <xdr:row>22</xdr:row>
      <xdr:rowOff>184150</xdr:rowOff>
    </xdr:from>
    <xdr:to>
      <xdr:col>13</xdr:col>
      <xdr:colOff>1194477</xdr:colOff>
      <xdr:row>28</xdr:row>
      <xdr:rowOff>32067</xdr:rowOff>
    </xdr:to>
    <xdr:grpSp>
      <xdr:nvGrpSpPr>
        <xdr:cNvPr id="379" name="Table15"/>
        <xdr:cNvGrpSpPr/>
      </xdr:nvGrpSpPr>
      <xdr:grpSpPr>
        <a:xfrm>
          <a:off x="11176000" y="4841875"/>
          <a:ext cx="1048427" cy="990917"/>
          <a:chOff x="4516189" y="1192528"/>
          <a:chExt cx="1040429" cy="992278"/>
        </a:xfrm>
        <a:solidFill>
          <a:schemeClr val="accent1">
            <a:lumMod val="20000"/>
            <a:lumOff val="80000"/>
          </a:schemeClr>
        </a:solidFill>
      </xdr:grpSpPr>
      <xdr:sp macro="Table_SelectToEdit" textlink="">
        <xdr:nvSpPr>
          <xdr:cNvPr id="380" name="Table15"/>
          <xdr:cNvSpPr/>
        </xdr:nvSpPr>
        <xdr:spPr>
          <a:xfrm>
            <a:off x="4674380" y="1323005"/>
            <a:ext cx="731520" cy="73152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rgbClr val="376092"/>
                </a:solidFill>
              </a:rPr>
              <a:t>15</a:t>
            </a:r>
          </a:p>
        </xdr:txBody>
      </xdr:sp>
      <xdr:sp macro="Table_SelectToEdit" textlink="">
        <xdr:nvSpPr>
          <xdr:cNvPr id="381" name="Table15"/>
          <xdr:cNvSpPr/>
        </xdr:nvSpPr>
        <xdr:spPr>
          <a:xfrm>
            <a:off x="4801472" y="120275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82" name="Table15"/>
          <xdr:cNvSpPr/>
        </xdr:nvSpPr>
        <xdr:spPr>
          <a:xfrm>
            <a:off x="4596105" y="135515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83" name="Table15"/>
          <xdr:cNvSpPr/>
        </xdr:nvSpPr>
        <xdr:spPr>
          <a:xfrm>
            <a:off x="4516189" y="1595830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84" name="Table15"/>
          <xdr:cNvSpPr/>
        </xdr:nvSpPr>
        <xdr:spPr>
          <a:xfrm>
            <a:off x="5070031" y="1192528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85" name="Table15"/>
          <xdr:cNvSpPr/>
        </xdr:nvSpPr>
        <xdr:spPr>
          <a:xfrm>
            <a:off x="5301421" y="136351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86" name="Table15"/>
          <xdr:cNvSpPr/>
        </xdr:nvSpPr>
        <xdr:spPr>
          <a:xfrm>
            <a:off x="5370185" y="162278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87" name="Table15"/>
          <xdr:cNvSpPr/>
        </xdr:nvSpPr>
        <xdr:spPr>
          <a:xfrm>
            <a:off x="5285621" y="1854174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88" name="Table15"/>
          <xdr:cNvSpPr/>
        </xdr:nvSpPr>
        <xdr:spPr>
          <a:xfrm>
            <a:off x="5075606" y="200192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>
                <a:solidFill>
                  <a:srgbClr val="376092"/>
                </a:solidFill>
              </a:rPr>
              <a:t>00</a:t>
            </a:r>
          </a:p>
        </xdr:txBody>
      </xdr:sp>
      <xdr:sp macro="Table_SelectToEdit" textlink="">
        <xdr:nvSpPr>
          <xdr:cNvPr id="389" name="Table15"/>
          <xdr:cNvSpPr/>
        </xdr:nvSpPr>
        <xdr:spPr>
          <a:xfrm>
            <a:off x="4591461" y="1829086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  <xdr:sp macro="Table_SelectToEdit" textlink="">
        <xdr:nvSpPr>
          <xdr:cNvPr id="390" name="Table15"/>
          <xdr:cNvSpPr/>
        </xdr:nvSpPr>
        <xdr:spPr>
          <a:xfrm>
            <a:off x="4791252" y="1987058"/>
            <a:ext cx="186433" cy="182880"/>
          </a:xfrm>
          <a:prstGeom prst="ellipse">
            <a:avLst/>
          </a:prstGeom>
          <a:solidFill>
            <a:srgbClr val="DCE6F2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600" b="1">
              <a:solidFill>
                <a:srgbClr val="376092"/>
              </a:solidFill>
            </a:endParaRPr>
          </a:p>
        </xdr:txBody>
      </xdr:sp>
    </xdr:grpSp>
    <xdr:clientData/>
  </xdr:twoCellAnchor>
  <xdr:twoCellAnchor editAs="oneCell">
    <xdr:from>
      <xdr:col>29</xdr:col>
      <xdr:colOff>381443</xdr:colOff>
      <xdr:row>17</xdr:row>
      <xdr:rowOff>65802</xdr:rowOff>
    </xdr:from>
    <xdr:to>
      <xdr:col>32</xdr:col>
      <xdr:colOff>100735</xdr:colOff>
      <xdr:row>20</xdr:row>
      <xdr:rowOff>134382</xdr:rowOff>
    </xdr:to>
    <xdr:sp macro="" textlink="">
      <xdr:nvSpPr>
        <xdr:cNvPr id="392" name="FixtureSample"/>
        <xdr:cNvSpPr/>
      </xdr:nvSpPr>
      <xdr:spPr>
        <a:xfrm>
          <a:off x="26784743" y="3771027"/>
          <a:ext cx="1548092" cy="640080"/>
        </a:xfrm>
        <a:prstGeom prst="rect">
          <a:avLst/>
        </a:prstGeom>
        <a:solidFill>
          <a:srgbClr val="4F81BD">
            <a:alpha val="10980"/>
          </a:srgbClr>
        </a:solidFill>
        <a:ln w="127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600" b="1">
              <a:solidFill>
                <a:schemeClr val="accent1">
                  <a:lumMod val="75000"/>
                </a:schemeClr>
              </a:solidFill>
            </a:rPr>
            <a:t>Fixture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M48"/>
  <sheetViews>
    <sheetView showGridLines="0" workbookViewId="0">
      <selection activeCell="C30" sqref="C30"/>
    </sheetView>
  </sheetViews>
  <sheetFormatPr defaultRowHeight="15" x14ac:dyDescent="0.25"/>
  <cols>
    <col min="1" max="1" width="11.42578125" bestFit="1" customWidth="1"/>
    <col min="4" max="4" width="10.5703125" bestFit="1" customWidth="1"/>
    <col min="5" max="5" width="9.28515625" bestFit="1" customWidth="1"/>
    <col min="6" max="10" width="2.140625" customWidth="1"/>
    <col min="11" max="11" width="9.7109375" bestFit="1" customWidth="1"/>
  </cols>
  <sheetData>
    <row r="3" spans="1:13" x14ac:dyDescent="0.25">
      <c r="A3" s="38" t="s">
        <v>27</v>
      </c>
      <c r="C3" s="78" t="s">
        <v>19</v>
      </c>
      <c r="D3" s="78"/>
      <c r="E3" s="78"/>
      <c r="K3" s="78" t="s">
        <v>28</v>
      </c>
      <c r="L3" s="78"/>
      <c r="M3" s="78"/>
    </row>
    <row r="4" spans="1:13" x14ac:dyDescent="0.25">
      <c r="A4" s="39" t="s">
        <v>1</v>
      </c>
      <c r="C4" s="38" t="s">
        <v>4</v>
      </c>
      <c r="D4" s="38" t="s">
        <v>69</v>
      </c>
      <c r="E4" s="38" t="s">
        <v>70</v>
      </c>
      <c r="K4" s="38" t="s">
        <v>1</v>
      </c>
      <c r="L4" s="38" t="s">
        <v>3</v>
      </c>
      <c r="M4" s="38" t="s">
        <v>2</v>
      </c>
    </row>
    <row r="5" spans="1:13" x14ac:dyDescent="0.25">
      <c r="A5" s="39" t="s">
        <v>2</v>
      </c>
      <c r="C5" s="39">
        <v>1</v>
      </c>
      <c r="D5" s="39" t="s">
        <v>1</v>
      </c>
      <c r="E5" s="39">
        <v>12</v>
      </c>
      <c r="K5" s="39">
        <v>16</v>
      </c>
      <c r="L5" s="39">
        <v>12</v>
      </c>
      <c r="M5" s="39">
        <v>12</v>
      </c>
    </row>
    <row r="6" spans="1:13" x14ac:dyDescent="0.25">
      <c r="A6" s="39" t="s">
        <v>3</v>
      </c>
      <c r="C6" s="39">
        <v>2</v>
      </c>
      <c r="D6" s="39" t="s">
        <v>1</v>
      </c>
      <c r="E6" s="39">
        <v>12</v>
      </c>
      <c r="K6" s="39">
        <v>12</v>
      </c>
      <c r="L6" s="39">
        <v>10</v>
      </c>
      <c r="M6" s="39">
        <v>8</v>
      </c>
    </row>
    <row r="7" spans="1:13" x14ac:dyDescent="0.25">
      <c r="C7" s="39">
        <v>3</v>
      </c>
      <c r="D7" s="39" t="s">
        <v>1</v>
      </c>
      <c r="E7" s="39">
        <v>12</v>
      </c>
      <c r="K7" s="39">
        <v>8</v>
      </c>
      <c r="L7" s="39">
        <v>8</v>
      </c>
      <c r="M7" s="39">
        <v>4</v>
      </c>
    </row>
    <row r="8" spans="1:13" x14ac:dyDescent="0.25">
      <c r="C8" s="39">
        <v>4</v>
      </c>
      <c r="D8" s="39" t="s">
        <v>1</v>
      </c>
      <c r="E8" s="39">
        <v>8</v>
      </c>
      <c r="K8" s="39">
        <v>6</v>
      </c>
      <c r="L8" s="39">
        <v>6</v>
      </c>
      <c r="M8" s="39">
        <v>2</v>
      </c>
    </row>
    <row r="9" spans="1:13" x14ac:dyDescent="0.25">
      <c r="C9" s="39">
        <v>5</v>
      </c>
      <c r="D9" s="39" t="s">
        <v>3</v>
      </c>
      <c r="E9" s="39">
        <v>8</v>
      </c>
      <c r="K9" s="39"/>
      <c r="L9" s="39">
        <v>4</v>
      </c>
      <c r="M9" s="39"/>
    </row>
    <row r="10" spans="1:13" x14ac:dyDescent="0.25">
      <c r="C10" s="39">
        <v>6</v>
      </c>
      <c r="D10" s="39" t="s">
        <v>3</v>
      </c>
      <c r="E10" s="39">
        <v>10</v>
      </c>
      <c r="K10" s="10"/>
      <c r="L10" s="10"/>
      <c r="M10" s="10"/>
    </row>
    <row r="11" spans="1:13" x14ac:dyDescent="0.25">
      <c r="C11" s="39">
        <v>7</v>
      </c>
      <c r="D11" s="39" t="s">
        <v>3</v>
      </c>
      <c r="E11" s="39">
        <v>10</v>
      </c>
      <c r="K11" s="10"/>
      <c r="L11" s="10"/>
      <c r="M11" s="10"/>
    </row>
    <row r="12" spans="1:13" x14ac:dyDescent="0.25">
      <c r="C12" s="39">
        <v>8</v>
      </c>
      <c r="D12" s="39" t="s">
        <v>3</v>
      </c>
      <c r="E12" s="39">
        <v>10</v>
      </c>
    </row>
    <row r="13" spans="1:13" x14ac:dyDescent="0.25">
      <c r="C13" s="39">
        <v>9</v>
      </c>
      <c r="D13" s="39" t="s">
        <v>3</v>
      </c>
      <c r="E13" s="39">
        <v>8</v>
      </c>
    </row>
    <row r="14" spans="1:13" x14ac:dyDescent="0.25">
      <c r="C14" s="39">
        <v>10</v>
      </c>
      <c r="D14" s="39" t="s">
        <v>2</v>
      </c>
      <c r="E14" s="39">
        <v>8</v>
      </c>
    </row>
    <row r="15" spans="1:13" x14ac:dyDescent="0.25">
      <c r="C15" s="39">
        <v>11</v>
      </c>
      <c r="D15" s="39" t="s">
        <v>2</v>
      </c>
      <c r="E15" s="39">
        <v>12</v>
      </c>
    </row>
    <row r="16" spans="1:13" x14ac:dyDescent="0.25">
      <c r="C16" s="39">
        <v>12</v>
      </c>
      <c r="D16" s="39" t="s">
        <v>2</v>
      </c>
      <c r="E16" s="39">
        <v>12</v>
      </c>
    </row>
    <row r="17" spans="3:5" x14ac:dyDescent="0.25">
      <c r="C17" s="39">
        <v>13</v>
      </c>
      <c r="D17" s="39" t="s">
        <v>2</v>
      </c>
      <c r="E17" s="39">
        <v>8</v>
      </c>
    </row>
    <row r="18" spans="3:5" x14ac:dyDescent="0.25">
      <c r="C18" s="39">
        <v>14</v>
      </c>
      <c r="D18" s="39" t="s">
        <v>1</v>
      </c>
      <c r="E18" s="39">
        <v>12</v>
      </c>
    </row>
    <row r="19" spans="3:5" x14ac:dyDescent="0.25">
      <c r="C19" s="39">
        <v>15</v>
      </c>
      <c r="D19" s="39" t="s">
        <v>3</v>
      </c>
      <c r="E19" s="39">
        <v>10</v>
      </c>
    </row>
    <row r="20" spans="3:5" x14ac:dyDescent="0.25">
      <c r="C20" s="39"/>
      <c r="D20" s="39"/>
      <c r="E20" s="39"/>
    </row>
    <row r="21" spans="3:5" x14ac:dyDescent="0.25">
      <c r="C21" s="39"/>
      <c r="D21" s="39"/>
      <c r="E21" s="39"/>
    </row>
    <row r="22" spans="3:5" x14ac:dyDescent="0.25">
      <c r="C22" s="39"/>
      <c r="D22" s="39"/>
      <c r="E22" s="39"/>
    </row>
    <row r="23" spans="3:5" x14ac:dyDescent="0.25">
      <c r="C23" s="39"/>
      <c r="D23" s="39"/>
      <c r="E23" s="39"/>
    </row>
    <row r="24" spans="3:5" x14ac:dyDescent="0.25">
      <c r="C24" s="39"/>
      <c r="D24" s="39"/>
      <c r="E24" s="39"/>
    </row>
    <row r="25" spans="3:5" x14ac:dyDescent="0.25">
      <c r="C25" s="39"/>
      <c r="D25" s="39"/>
      <c r="E25" s="39"/>
    </row>
    <row r="26" spans="3:5" x14ac:dyDescent="0.25">
      <c r="C26" s="39"/>
      <c r="D26" s="39"/>
      <c r="E26" s="39"/>
    </row>
    <row r="27" spans="3:5" x14ac:dyDescent="0.25">
      <c r="C27" s="39"/>
      <c r="D27" s="39"/>
      <c r="E27" s="39"/>
    </row>
    <row r="28" spans="3:5" x14ac:dyDescent="0.25">
      <c r="C28" s="39"/>
      <c r="D28" s="39"/>
      <c r="E28" s="39"/>
    </row>
    <row r="29" spans="3:5" x14ac:dyDescent="0.25">
      <c r="C29" s="39"/>
      <c r="D29" s="39"/>
      <c r="E29" s="39"/>
    </row>
    <row r="30" spans="3:5" x14ac:dyDescent="0.25">
      <c r="C30" s="39"/>
      <c r="D30" s="39"/>
      <c r="E30" s="39"/>
    </row>
    <row r="31" spans="3:5" x14ac:dyDescent="0.25">
      <c r="C31" s="39"/>
      <c r="D31" s="39"/>
      <c r="E31" s="39"/>
    </row>
    <row r="32" spans="3:5" x14ac:dyDescent="0.25">
      <c r="C32" s="39"/>
      <c r="D32" s="39"/>
      <c r="E32" s="39"/>
    </row>
    <row r="33" spans="3:5" x14ac:dyDescent="0.25">
      <c r="C33" s="39"/>
      <c r="D33" s="39"/>
      <c r="E33" s="39"/>
    </row>
    <row r="34" spans="3:5" x14ac:dyDescent="0.25">
      <c r="C34" s="39"/>
      <c r="D34" s="39"/>
      <c r="E34" s="39"/>
    </row>
    <row r="35" spans="3:5" x14ac:dyDescent="0.25">
      <c r="C35" s="10"/>
      <c r="D35" s="10"/>
      <c r="E35" s="10"/>
    </row>
    <row r="36" spans="3:5" x14ac:dyDescent="0.25">
      <c r="C36" s="10"/>
      <c r="D36" s="10"/>
      <c r="E36" s="10"/>
    </row>
    <row r="37" spans="3:5" x14ac:dyDescent="0.25">
      <c r="C37" s="10"/>
      <c r="D37" s="10"/>
      <c r="E37" s="10"/>
    </row>
    <row r="38" spans="3:5" x14ac:dyDescent="0.25">
      <c r="C38" s="10"/>
      <c r="D38" s="10"/>
      <c r="E38" s="10"/>
    </row>
    <row r="39" spans="3:5" x14ac:dyDescent="0.25">
      <c r="C39" s="10"/>
      <c r="D39" s="10"/>
      <c r="E39" s="10"/>
    </row>
    <row r="40" spans="3:5" x14ac:dyDescent="0.25">
      <c r="C40" s="10"/>
      <c r="D40" s="10"/>
      <c r="E40" s="10"/>
    </row>
    <row r="41" spans="3:5" x14ac:dyDescent="0.25">
      <c r="C41" s="10"/>
      <c r="D41" s="10"/>
      <c r="E41" s="10"/>
    </row>
    <row r="42" spans="3:5" x14ac:dyDescent="0.25">
      <c r="C42" s="10"/>
      <c r="D42" s="10"/>
      <c r="E42" s="10"/>
    </row>
    <row r="43" spans="3:5" x14ac:dyDescent="0.25">
      <c r="C43" s="10"/>
      <c r="D43" s="10"/>
      <c r="E43" s="10"/>
    </row>
    <row r="44" spans="3:5" x14ac:dyDescent="0.25">
      <c r="C44" s="10"/>
      <c r="D44" s="10"/>
      <c r="E44" s="10"/>
    </row>
    <row r="45" spans="3:5" x14ac:dyDescent="0.25">
      <c r="C45" s="10"/>
      <c r="D45" s="10"/>
      <c r="E45" s="10"/>
    </row>
    <row r="46" spans="3:5" x14ac:dyDescent="0.25">
      <c r="C46" s="10"/>
      <c r="D46" s="10"/>
      <c r="E46" s="10"/>
    </row>
    <row r="47" spans="3:5" x14ac:dyDescent="0.25">
      <c r="C47" s="10"/>
      <c r="D47" s="10"/>
      <c r="E47" s="10"/>
    </row>
    <row r="48" spans="3:5" x14ac:dyDescent="0.25">
      <c r="C48" s="10"/>
      <c r="D48" s="10"/>
      <c r="E48" s="10"/>
    </row>
  </sheetData>
  <mergeCells count="2">
    <mergeCell ref="K3:M3"/>
    <mergeCell ref="C3:E3"/>
  </mergeCells>
  <conditionalFormatting sqref="K5:M9 C5:E34 A4:A6">
    <cfRule type="expression" dxfId="8" priority="1">
      <formula>MOD(ROW(),2)=0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66"/>
  <sheetViews>
    <sheetView showGridLines="0" tabSelected="1" zoomScaleNormal="100" workbookViewId="0">
      <selection activeCell="G8" sqref="G8"/>
    </sheetView>
  </sheetViews>
  <sheetFormatPr defaultRowHeight="15" x14ac:dyDescent="0.25"/>
  <cols>
    <col min="1" max="1" width="17.42578125" bestFit="1" customWidth="1"/>
    <col min="2" max="2" width="11.28515625" bestFit="1" customWidth="1"/>
    <col min="3" max="3" width="3.42578125" customWidth="1"/>
    <col min="4" max="4" width="13.140625" customWidth="1"/>
    <col min="5" max="5" width="9.7109375" customWidth="1"/>
    <col min="6" max="6" width="3" customWidth="1"/>
    <col min="7" max="7" width="19.85546875" customWidth="1"/>
    <col min="8" max="8" width="11.5703125" customWidth="1"/>
    <col min="9" max="9" width="13.42578125" customWidth="1"/>
    <col min="10" max="10" width="20.28515625" customWidth="1"/>
    <col min="11" max="11" width="13" customWidth="1"/>
    <col min="12" max="12" width="10.7109375" customWidth="1"/>
    <col min="13" max="13" width="18.5703125" customWidth="1"/>
    <col min="14" max="14" width="19" customWidth="1"/>
    <col min="15" max="15" width="12" bestFit="1" customWidth="1"/>
    <col min="16" max="16" width="4.5703125" customWidth="1"/>
    <col min="17" max="17" width="11" bestFit="1" customWidth="1"/>
    <col min="18" max="18" width="26.5703125" customWidth="1"/>
    <col min="19" max="19" width="29.85546875" customWidth="1"/>
    <col min="20" max="20" width="45.28515625" customWidth="1"/>
  </cols>
  <sheetData>
    <row r="1" spans="1:25" ht="42" customHeight="1" x14ac:dyDescent="0.45">
      <c r="A1" s="1"/>
      <c r="B1" s="42"/>
      <c r="C1" s="2"/>
      <c r="D1" s="2"/>
      <c r="E1" s="2"/>
      <c r="F1" s="2"/>
      <c r="G1" s="41"/>
      <c r="H1" s="41"/>
      <c r="I1" s="41"/>
      <c r="J1" s="73" t="s">
        <v>0</v>
      </c>
      <c r="K1" s="73"/>
      <c r="L1" s="73"/>
      <c r="M1" s="73"/>
      <c r="N1" s="73"/>
      <c r="O1" s="73"/>
      <c r="P1" s="73"/>
      <c r="Q1" s="73"/>
      <c r="R1" s="73"/>
      <c r="S1" s="29"/>
      <c r="T1" s="46"/>
      <c r="U1" s="45"/>
      <c r="V1" s="45"/>
      <c r="W1" s="45"/>
      <c r="X1" s="45"/>
      <c r="Y1" s="45"/>
    </row>
    <row r="2" spans="1:25" ht="12.75" customHeight="1" thickBot="1" x14ac:dyDescent="0.3">
      <c r="A2" s="1"/>
      <c r="B2" s="4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0"/>
      <c r="T2" s="46"/>
      <c r="U2" s="45"/>
      <c r="V2" s="45"/>
      <c r="W2" s="45"/>
      <c r="X2" s="45"/>
      <c r="Y2" s="45"/>
    </row>
    <row r="3" spans="1:25" ht="16.5" customHeight="1" thickTop="1" x14ac:dyDescent="0.25">
      <c r="A3" s="34" t="s">
        <v>29</v>
      </c>
      <c r="B3" s="36">
        <v>3</v>
      </c>
      <c r="C3" s="58" t="s">
        <v>6</v>
      </c>
      <c r="D3" s="58"/>
      <c r="E3" s="58"/>
      <c r="F3" s="59"/>
      <c r="G3" s="60" t="s">
        <v>9</v>
      </c>
      <c r="H3" s="61"/>
      <c r="I3" s="62" t="s">
        <v>10</v>
      </c>
      <c r="J3" s="59"/>
      <c r="K3" s="16" t="s">
        <v>15</v>
      </c>
      <c r="L3" s="40">
        <v>43845</v>
      </c>
      <c r="M3" s="17" t="s">
        <v>16</v>
      </c>
      <c r="N3" s="18" t="s">
        <v>61</v>
      </c>
      <c r="O3" s="17" t="s">
        <v>13</v>
      </c>
      <c r="P3" s="52">
        <f ca="1">COUNTA(TableNumbers)-COUNTIF(EventTable_EventID,B3)</f>
        <v>14</v>
      </c>
      <c r="Q3" s="51" t="s">
        <v>34</v>
      </c>
      <c r="R3" s="6" t="s">
        <v>57</v>
      </c>
      <c r="S3" s="33"/>
      <c r="T3" s="46"/>
      <c r="U3" s="45"/>
      <c r="V3" s="45"/>
      <c r="W3" s="45"/>
      <c r="X3" s="45"/>
      <c r="Y3" s="45"/>
    </row>
    <row r="4" spans="1:25" x14ac:dyDescent="0.25">
      <c r="A4" s="34" t="s">
        <v>30</v>
      </c>
      <c r="B4" s="36">
        <f ca="1">IFERROR(MATCH(B3,Events_EventID,0)+2,"")</f>
        <v>5</v>
      </c>
      <c r="C4" s="5"/>
      <c r="D4" s="4"/>
      <c r="E4" s="7"/>
      <c r="F4" s="8"/>
      <c r="G4" s="19" t="s">
        <v>31</v>
      </c>
      <c r="H4" s="20" t="s">
        <v>8</v>
      </c>
      <c r="I4" s="13" t="s">
        <v>4</v>
      </c>
      <c r="J4" s="43">
        <v>1</v>
      </c>
      <c r="K4" s="21"/>
      <c r="S4" s="31"/>
      <c r="T4" s="46"/>
      <c r="U4" s="45"/>
      <c r="V4" s="45"/>
      <c r="W4" s="45"/>
      <c r="X4" s="45"/>
      <c r="Y4" s="45"/>
    </row>
    <row r="5" spans="1:25" x14ac:dyDescent="0.25">
      <c r="A5" s="34" t="s">
        <v>32</v>
      </c>
      <c r="B5" s="36">
        <f ca="1">IFERROR(MAX(Events_EventID)+1,1)</f>
        <v>6</v>
      </c>
      <c r="C5" s="5"/>
      <c r="D5" s="4"/>
      <c r="E5" s="7"/>
      <c r="F5" s="8"/>
      <c r="G5" s="11" t="s">
        <v>51</v>
      </c>
      <c r="H5" s="56">
        <v>43866</v>
      </c>
      <c r="I5" s="13" t="s">
        <v>18</v>
      </c>
      <c r="J5" s="43">
        <f ca="1">IFERROR(INDEX('Admin &amp; Lists'!E5:E99,MATCH('Seating Chart'!J4,TableNumbers,0),1),"")</f>
        <v>12</v>
      </c>
      <c r="K5" s="21"/>
      <c r="S5" s="31"/>
      <c r="T5" s="46"/>
      <c r="U5" s="45"/>
      <c r="V5" s="45"/>
      <c r="W5" s="45"/>
      <c r="X5" s="45"/>
      <c r="Y5" s="45"/>
    </row>
    <row r="6" spans="1:25" x14ac:dyDescent="0.25">
      <c r="A6" s="34" t="s">
        <v>37</v>
      </c>
      <c r="B6" s="36">
        <f ca="1">IFERROR(SUMPRODUCT((EventTable_EventID=B3)*(EventTable_TableNumb=J4)*(ROW(EventTable_EventID))),"")</f>
        <v>6</v>
      </c>
      <c r="C6" s="5"/>
      <c r="D6" s="4"/>
      <c r="E6" s="7"/>
      <c r="F6" s="8"/>
      <c r="G6" s="11" t="s">
        <v>71</v>
      </c>
      <c r="H6" s="56">
        <v>43850</v>
      </c>
      <c r="I6" s="13" t="s">
        <v>11</v>
      </c>
      <c r="J6" s="48">
        <v>0.83333333333333337</v>
      </c>
      <c r="K6" s="21"/>
      <c r="S6" s="31"/>
      <c r="T6" s="46"/>
      <c r="U6" s="45"/>
      <c r="V6" s="45"/>
      <c r="W6" s="45"/>
      <c r="X6" s="45"/>
      <c r="Y6" s="45"/>
    </row>
    <row r="7" spans="1:25" x14ac:dyDescent="0.25">
      <c r="A7" s="37" t="s">
        <v>25</v>
      </c>
      <c r="B7" s="36" t="b">
        <v>1</v>
      </c>
      <c r="C7" s="5"/>
      <c r="D7" s="9" t="s">
        <v>5</v>
      </c>
      <c r="E7" s="35"/>
      <c r="F7" s="8"/>
      <c r="G7" s="11" t="s">
        <v>33</v>
      </c>
      <c r="H7" s="56">
        <v>43845</v>
      </c>
      <c r="I7" s="13" t="s">
        <v>20</v>
      </c>
      <c r="J7" s="44" t="s">
        <v>58</v>
      </c>
      <c r="K7" s="21"/>
      <c r="S7" s="31"/>
      <c r="T7" s="46"/>
      <c r="U7" s="45"/>
      <c r="V7" s="45"/>
      <c r="W7" s="45"/>
      <c r="X7" s="45"/>
      <c r="Y7" s="45"/>
    </row>
    <row r="8" spans="1:25" x14ac:dyDescent="0.25">
      <c r="A8" s="37" t="s">
        <v>7</v>
      </c>
      <c r="B8" s="36" t="b">
        <v>0</v>
      </c>
      <c r="C8" s="5"/>
      <c r="D8" s="9" t="s">
        <v>22</v>
      </c>
      <c r="E8" s="35"/>
      <c r="F8" s="8"/>
      <c r="G8" s="11" t="s">
        <v>61</v>
      </c>
      <c r="H8" s="56">
        <v>43845</v>
      </c>
      <c r="I8" s="67" t="s">
        <v>14</v>
      </c>
      <c r="J8" s="68"/>
      <c r="K8" s="21"/>
      <c r="S8" s="31"/>
      <c r="T8" s="46"/>
      <c r="U8" s="45"/>
      <c r="V8" s="45"/>
      <c r="W8" s="45"/>
      <c r="X8" s="45"/>
      <c r="Y8" s="45"/>
    </row>
    <row r="9" spans="1:25" x14ac:dyDescent="0.25">
      <c r="A9" s="37" t="s">
        <v>23</v>
      </c>
      <c r="B9" s="36">
        <f ca="1">IFERROR(MAX(TableNumbers)+1,1)</f>
        <v>16</v>
      </c>
      <c r="C9" s="5"/>
      <c r="D9" s="9" t="s">
        <v>4</v>
      </c>
      <c r="E9" s="35"/>
      <c r="F9" s="8"/>
      <c r="G9" s="11" t="s">
        <v>60</v>
      </c>
      <c r="H9" s="56">
        <v>43845</v>
      </c>
      <c r="I9" s="63"/>
      <c r="J9" s="64"/>
      <c r="K9" s="21"/>
      <c r="S9" s="31"/>
      <c r="T9" s="46"/>
      <c r="U9" s="45"/>
      <c r="V9" s="45"/>
      <c r="W9" s="45"/>
      <c r="X9" s="45"/>
      <c r="Y9" s="45"/>
    </row>
    <row r="10" spans="1:25" x14ac:dyDescent="0.25">
      <c r="A10" s="34" t="s">
        <v>26</v>
      </c>
      <c r="B10" s="36" t="str">
        <f>IF(D7="Table Type","Add Table","Add Fixture")</f>
        <v>Add Table</v>
      </c>
      <c r="C10" s="5"/>
      <c r="D10" s="4"/>
      <c r="E10" s="4"/>
      <c r="F10" s="8"/>
      <c r="G10" s="11"/>
      <c r="H10" s="12"/>
      <c r="I10" s="65"/>
      <c r="J10" s="66"/>
      <c r="K10" s="21"/>
      <c r="S10" s="31"/>
      <c r="T10" s="46"/>
      <c r="U10" s="45"/>
      <c r="V10" s="45"/>
      <c r="W10" s="45"/>
      <c r="X10" s="45"/>
      <c r="Y10" s="45"/>
    </row>
    <row r="11" spans="1:25" ht="20.25" customHeight="1" x14ac:dyDescent="0.25">
      <c r="A11" s="34" t="s">
        <v>39</v>
      </c>
      <c r="B11" s="36">
        <f>IFERROR(MAX(I17:I51)+1,1)</f>
        <v>1</v>
      </c>
      <c r="C11" s="5"/>
      <c r="D11" s="4"/>
      <c r="E11" s="7"/>
      <c r="F11" s="8"/>
      <c r="G11" s="11"/>
      <c r="H11" s="12"/>
      <c r="I11" s="74"/>
      <c r="J11" s="75"/>
      <c r="K11" s="21"/>
      <c r="S11" s="31"/>
      <c r="T11" s="46"/>
      <c r="U11" s="45"/>
      <c r="V11" s="45"/>
      <c r="W11" s="45"/>
      <c r="X11" s="45"/>
      <c r="Y11" s="45"/>
    </row>
    <row r="12" spans="1:25" x14ac:dyDescent="0.25">
      <c r="A12" s="34" t="s">
        <v>47</v>
      </c>
      <c r="B12" s="36">
        <v>8</v>
      </c>
      <c r="C12" s="5"/>
      <c r="D12" s="4"/>
      <c r="E12" s="7"/>
      <c r="F12" s="8"/>
      <c r="G12" s="11"/>
      <c r="H12" s="12"/>
      <c r="I12" s="76" t="s">
        <v>24</v>
      </c>
      <c r="J12" s="77"/>
      <c r="K12" s="21"/>
      <c r="S12" s="31"/>
      <c r="T12" s="46"/>
      <c r="U12" s="45"/>
      <c r="V12" s="45"/>
      <c r="W12" s="45"/>
      <c r="X12" s="45"/>
      <c r="Y12" s="45"/>
    </row>
    <row r="13" spans="1:25" x14ac:dyDescent="0.25">
      <c r="A13" s="34" t="s">
        <v>53</v>
      </c>
      <c r="B13" s="36">
        <f>COUNTA(I17:I51)</f>
        <v>0</v>
      </c>
      <c r="C13" s="5"/>
      <c r="D13" s="4"/>
      <c r="E13" s="7"/>
      <c r="F13" s="8"/>
      <c r="G13" s="11"/>
      <c r="H13" s="12"/>
      <c r="I13" s="13" t="s">
        <v>21</v>
      </c>
      <c r="J13" s="50"/>
      <c r="K13" s="21"/>
      <c r="S13" s="31"/>
      <c r="T13" s="46"/>
      <c r="U13" s="45"/>
      <c r="V13" s="45"/>
      <c r="W13" s="45"/>
      <c r="X13" s="45"/>
      <c r="Y13" s="45"/>
    </row>
    <row r="14" spans="1:25" ht="20.25" customHeight="1" x14ac:dyDescent="0.25">
      <c r="A14" s="34" t="s">
        <v>54</v>
      </c>
      <c r="B14" s="36">
        <v>17</v>
      </c>
      <c r="C14" s="5"/>
      <c r="D14" s="4"/>
      <c r="E14" s="7"/>
      <c r="F14" s="8"/>
      <c r="G14" s="11"/>
      <c r="H14" s="12"/>
      <c r="I14" s="71"/>
      <c r="J14" s="72"/>
      <c r="K14" s="21"/>
      <c r="S14" s="31"/>
      <c r="T14" s="46"/>
      <c r="U14" s="45"/>
      <c r="V14" s="45"/>
      <c r="W14" s="45"/>
      <c r="X14" s="45"/>
      <c r="Y14" s="45"/>
    </row>
    <row r="15" spans="1:25" x14ac:dyDescent="0.25">
      <c r="A15" s="82" t="s">
        <v>56</v>
      </c>
      <c r="B15" s="36">
        <v>1</v>
      </c>
      <c r="C15" s="5"/>
      <c r="D15" s="4"/>
      <c r="E15" s="7"/>
      <c r="F15" s="8"/>
      <c r="G15" s="11"/>
      <c r="H15" s="12"/>
      <c r="I15" s="69" t="s">
        <v>38</v>
      </c>
      <c r="J15" s="70"/>
      <c r="K15" s="21"/>
      <c r="S15" s="31"/>
      <c r="T15" s="46"/>
      <c r="U15" s="45"/>
      <c r="V15" s="45"/>
      <c r="W15" s="45"/>
      <c r="X15" s="45"/>
      <c r="Y15" s="45"/>
    </row>
    <row r="16" spans="1:25" x14ac:dyDescent="0.25">
      <c r="A16" s="34" t="s">
        <v>55</v>
      </c>
      <c r="B16" s="36">
        <f ca="1">IFERROR(SUMPRODUCT((GuestList_EventID=B3)*(GuestList_TableNumb=J4)*(GuestList_SeatNumb=B15)*(ROW(GuestList_EventID))),"")</f>
        <v>0</v>
      </c>
      <c r="C16" s="5"/>
      <c r="D16" s="4"/>
      <c r="E16" s="7"/>
      <c r="F16" s="8"/>
      <c r="G16" s="11"/>
      <c r="H16" s="12"/>
      <c r="I16" s="14" t="s">
        <v>12</v>
      </c>
      <c r="J16" s="15" t="s">
        <v>21</v>
      </c>
      <c r="K16" s="21"/>
      <c r="S16" s="31"/>
      <c r="T16" s="46"/>
      <c r="U16" s="45"/>
      <c r="V16" s="45"/>
      <c r="W16" s="45"/>
      <c r="X16" s="45"/>
      <c r="Y16" s="45"/>
    </row>
    <row r="17" spans="1:25" x14ac:dyDescent="0.25">
      <c r="A17" s="1"/>
      <c r="B17" s="1"/>
      <c r="C17" s="5"/>
      <c r="D17" s="4"/>
      <c r="E17" s="7"/>
      <c r="F17" s="8"/>
      <c r="G17" s="11"/>
      <c r="H17" s="12"/>
      <c r="I17" s="49"/>
      <c r="J17" s="12"/>
      <c r="K17" s="21"/>
      <c r="S17" s="31"/>
      <c r="T17" s="46"/>
      <c r="U17" s="45"/>
      <c r="V17" s="45"/>
      <c r="W17" s="45"/>
      <c r="X17" s="45"/>
      <c r="Y17" s="45"/>
    </row>
    <row r="18" spans="1:25" x14ac:dyDescent="0.25">
      <c r="A18" s="1"/>
      <c r="B18" s="1"/>
      <c r="C18" s="5"/>
      <c r="D18" s="4"/>
      <c r="E18" s="7"/>
      <c r="F18" s="8"/>
      <c r="G18" s="11"/>
      <c r="H18" s="12"/>
      <c r="I18" s="49"/>
      <c r="J18" s="12"/>
      <c r="K18" s="21"/>
      <c r="S18" s="31"/>
      <c r="T18" s="46"/>
      <c r="U18" s="45"/>
      <c r="V18" s="45"/>
      <c r="W18" s="45"/>
      <c r="X18" s="45"/>
      <c r="Y18" s="45"/>
    </row>
    <row r="19" spans="1:25" x14ac:dyDescent="0.25">
      <c r="A19" s="1"/>
      <c r="B19" s="1"/>
      <c r="C19" s="5"/>
      <c r="D19" s="4"/>
      <c r="E19" s="7"/>
      <c r="F19" s="8"/>
      <c r="G19" s="11"/>
      <c r="H19" s="12"/>
      <c r="I19" s="49"/>
      <c r="J19" s="12"/>
      <c r="K19" s="21"/>
      <c r="S19" s="31"/>
      <c r="T19" s="46"/>
      <c r="U19" s="45"/>
      <c r="V19" s="45"/>
      <c r="W19" s="45"/>
      <c r="X19" s="45"/>
      <c r="Y19" s="45"/>
    </row>
    <row r="20" spans="1:25" x14ac:dyDescent="0.25">
      <c r="A20" s="1"/>
      <c r="B20" s="1"/>
      <c r="C20" s="5"/>
      <c r="D20" s="4"/>
      <c r="E20" s="7"/>
      <c r="F20" s="8"/>
      <c r="G20" s="11"/>
      <c r="H20" s="12"/>
      <c r="I20" s="49"/>
      <c r="J20" s="12"/>
      <c r="K20" s="21"/>
      <c r="S20" s="31"/>
      <c r="T20" s="46"/>
      <c r="U20" s="45"/>
      <c r="V20" s="45"/>
      <c r="W20" s="45"/>
      <c r="X20" s="45"/>
      <c r="Y20" s="45"/>
    </row>
    <row r="21" spans="1:25" x14ac:dyDescent="0.25">
      <c r="A21" s="1"/>
      <c r="B21" s="1"/>
      <c r="C21" s="5"/>
      <c r="D21" s="4"/>
      <c r="E21" s="7"/>
      <c r="F21" s="8"/>
      <c r="G21" s="11"/>
      <c r="H21" s="12"/>
      <c r="I21" s="49"/>
      <c r="J21" s="12"/>
      <c r="K21" s="21"/>
      <c r="S21" s="31"/>
      <c r="T21" s="46"/>
      <c r="U21" s="45"/>
      <c r="V21" s="45"/>
      <c r="W21" s="45"/>
      <c r="X21" s="45"/>
      <c r="Y21" s="45"/>
    </row>
    <row r="22" spans="1:25" x14ac:dyDescent="0.25">
      <c r="A22" s="1"/>
      <c r="B22" s="1"/>
      <c r="C22" s="5"/>
      <c r="D22" s="4"/>
      <c r="E22" s="7"/>
      <c r="F22" s="8"/>
      <c r="G22" s="11"/>
      <c r="H22" s="12"/>
      <c r="I22" s="49"/>
      <c r="J22" s="12"/>
      <c r="K22" s="21"/>
      <c r="S22" s="31"/>
      <c r="T22" s="46"/>
      <c r="U22" s="45"/>
      <c r="V22" s="45"/>
      <c r="W22" s="45"/>
      <c r="X22" s="45"/>
      <c r="Y22" s="45"/>
    </row>
    <row r="23" spans="1:25" x14ac:dyDescent="0.25">
      <c r="A23" s="1"/>
      <c r="B23" s="1"/>
      <c r="C23" s="5"/>
      <c r="D23" s="4"/>
      <c r="E23" s="7"/>
      <c r="F23" s="8"/>
      <c r="G23" s="11"/>
      <c r="H23" s="12"/>
      <c r="I23" s="49"/>
      <c r="J23" s="12"/>
      <c r="K23" s="21"/>
      <c r="S23" s="31"/>
      <c r="T23" s="46"/>
      <c r="U23" s="45"/>
      <c r="V23" s="45"/>
      <c r="W23" s="45"/>
      <c r="X23" s="45"/>
      <c r="Y23" s="45"/>
    </row>
    <row r="24" spans="1:25" x14ac:dyDescent="0.25">
      <c r="A24" s="1"/>
      <c r="B24" s="1"/>
      <c r="C24" s="5"/>
      <c r="D24" s="4"/>
      <c r="E24" s="7"/>
      <c r="F24" s="8"/>
      <c r="G24" s="11"/>
      <c r="H24" s="12"/>
      <c r="I24" s="49"/>
      <c r="J24" s="12"/>
      <c r="K24" s="21"/>
      <c r="S24" s="31"/>
      <c r="T24" s="46"/>
      <c r="U24" s="45"/>
      <c r="V24" s="45"/>
      <c r="W24" s="45"/>
      <c r="X24" s="45"/>
      <c r="Y24" s="45"/>
    </row>
    <row r="25" spans="1:25" x14ac:dyDescent="0.25">
      <c r="A25" s="1"/>
      <c r="B25" s="1"/>
      <c r="C25" s="5"/>
      <c r="D25" s="4"/>
      <c r="E25" s="7"/>
      <c r="F25" s="8"/>
      <c r="G25" s="11"/>
      <c r="H25" s="12"/>
      <c r="I25" s="11"/>
      <c r="J25" s="12"/>
      <c r="K25" s="21"/>
      <c r="S25" s="31"/>
      <c r="T25" s="46"/>
      <c r="U25" s="45"/>
      <c r="V25" s="45"/>
      <c r="W25" s="45"/>
      <c r="X25" s="45"/>
      <c r="Y25" s="45"/>
    </row>
    <row r="26" spans="1:25" x14ac:dyDescent="0.25">
      <c r="A26" s="1"/>
      <c r="B26" s="1"/>
      <c r="C26" s="5"/>
      <c r="D26" s="4"/>
      <c r="E26" s="7"/>
      <c r="F26" s="8"/>
      <c r="G26" s="11"/>
      <c r="H26" s="12"/>
      <c r="I26" s="11"/>
      <c r="J26" s="12"/>
      <c r="K26" s="21"/>
      <c r="S26" s="31"/>
      <c r="T26" s="46"/>
      <c r="U26" s="45"/>
      <c r="V26" s="45"/>
      <c r="W26" s="45"/>
      <c r="X26" s="45"/>
      <c r="Y26" s="45"/>
    </row>
    <row r="27" spans="1:25" x14ac:dyDescent="0.25">
      <c r="A27" s="1"/>
      <c r="B27" s="1"/>
      <c r="C27" s="5"/>
      <c r="D27" s="4"/>
      <c r="E27" s="7"/>
      <c r="F27" s="8"/>
      <c r="G27" s="11"/>
      <c r="H27" s="12"/>
      <c r="I27" s="11"/>
      <c r="J27" s="12"/>
      <c r="K27" s="21"/>
      <c r="S27" s="31"/>
      <c r="T27" s="46"/>
      <c r="U27" s="45"/>
      <c r="V27" s="45"/>
      <c r="W27" s="45"/>
      <c r="X27" s="45"/>
      <c r="Y27" s="45"/>
    </row>
    <row r="28" spans="1:25" x14ac:dyDescent="0.25">
      <c r="A28" s="1"/>
      <c r="B28" s="1"/>
      <c r="C28" s="5"/>
      <c r="D28" s="4"/>
      <c r="E28" s="7"/>
      <c r="F28" s="8"/>
      <c r="G28" s="11"/>
      <c r="H28" s="12"/>
      <c r="I28" s="11"/>
      <c r="J28" s="12"/>
      <c r="K28" s="21"/>
      <c r="S28" s="31"/>
      <c r="T28" s="46"/>
      <c r="U28" s="45"/>
      <c r="V28" s="45"/>
      <c r="W28" s="45"/>
      <c r="X28" s="45"/>
      <c r="Y28" s="45"/>
    </row>
    <row r="29" spans="1:25" x14ac:dyDescent="0.25">
      <c r="A29" s="1"/>
      <c r="B29" s="1"/>
      <c r="C29" s="5"/>
      <c r="D29" s="4"/>
      <c r="E29" s="7"/>
      <c r="F29" s="8"/>
      <c r="G29" s="11"/>
      <c r="H29" s="12"/>
      <c r="I29" s="11"/>
      <c r="J29" s="12"/>
      <c r="K29" s="21"/>
      <c r="S29" s="31"/>
      <c r="T29" s="46"/>
      <c r="U29" s="45"/>
      <c r="V29" s="45"/>
      <c r="W29" s="45"/>
      <c r="X29" s="45"/>
      <c r="Y29" s="45"/>
    </row>
    <row r="30" spans="1:25" x14ac:dyDescent="0.25">
      <c r="A30" s="1"/>
      <c r="B30" s="1"/>
      <c r="C30" s="5"/>
      <c r="D30" s="4"/>
      <c r="E30" s="7"/>
      <c r="F30" s="8"/>
      <c r="G30" s="11"/>
      <c r="H30" s="12"/>
      <c r="I30" s="11"/>
      <c r="J30" s="12"/>
      <c r="K30" s="21"/>
      <c r="S30" s="31"/>
      <c r="T30" s="46"/>
      <c r="U30" s="45"/>
      <c r="V30" s="45"/>
      <c r="W30" s="45"/>
      <c r="X30" s="45"/>
      <c r="Y30" s="45"/>
    </row>
    <row r="31" spans="1:25" x14ac:dyDescent="0.25">
      <c r="A31" s="1"/>
      <c r="B31" s="1"/>
      <c r="C31" s="5"/>
      <c r="D31" s="4"/>
      <c r="E31" s="7"/>
      <c r="F31" s="8"/>
      <c r="G31" s="11"/>
      <c r="H31" s="12"/>
      <c r="I31" s="11"/>
      <c r="J31" s="12"/>
      <c r="K31" s="21"/>
      <c r="S31" s="31"/>
      <c r="T31" s="46"/>
      <c r="U31" s="45"/>
      <c r="V31" s="45"/>
      <c r="W31" s="45"/>
      <c r="X31" s="45"/>
      <c r="Y31" s="45"/>
    </row>
    <row r="32" spans="1:25" x14ac:dyDescent="0.25">
      <c r="A32" s="1"/>
      <c r="B32" s="1"/>
      <c r="C32" s="5"/>
      <c r="D32" s="4"/>
      <c r="E32" s="7"/>
      <c r="F32" s="8"/>
      <c r="G32" s="11"/>
      <c r="H32" s="12"/>
      <c r="I32" s="11"/>
      <c r="J32" s="12"/>
      <c r="K32" s="21"/>
      <c r="S32" s="31"/>
      <c r="T32" s="46"/>
      <c r="U32" s="45"/>
      <c r="V32" s="45"/>
      <c r="W32" s="45"/>
      <c r="X32" s="45"/>
      <c r="Y32" s="45"/>
    </row>
    <row r="33" spans="1:25" x14ac:dyDescent="0.25">
      <c r="A33" s="1"/>
      <c r="B33" s="1"/>
      <c r="C33" s="5"/>
      <c r="D33" s="4"/>
      <c r="E33" s="7"/>
      <c r="F33" s="8"/>
      <c r="G33" s="11"/>
      <c r="H33" s="12"/>
      <c r="I33" s="11"/>
      <c r="J33" s="12"/>
      <c r="K33" s="21"/>
      <c r="S33" s="31"/>
      <c r="T33" s="46"/>
      <c r="U33" s="45"/>
      <c r="V33" s="45"/>
      <c r="W33" s="45"/>
      <c r="X33" s="45"/>
      <c r="Y33" s="45"/>
    </row>
    <row r="34" spans="1:25" x14ac:dyDescent="0.25">
      <c r="A34" s="1"/>
      <c r="B34" s="1"/>
      <c r="C34" s="5"/>
      <c r="D34" s="4"/>
      <c r="E34" s="7"/>
      <c r="F34" s="8"/>
      <c r="G34" s="11"/>
      <c r="H34" s="12"/>
      <c r="I34" s="11"/>
      <c r="J34" s="12"/>
      <c r="K34" s="21"/>
      <c r="S34" s="31"/>
      <c r="T34" s="46"/>
      <c r="U34" s="45"/>
      <c r="V34" s="45"/>
      <c r="W34" s="45"/>
      <c r="X34" s="45"/>
      <c r="Y34" s="45"/>
    </row>
    <row r="35" spans="1:25" x14ac:dyDescent="0.25">
      <c r="A35" s="1"/>
      <c r="B35" s="1"/>
      <c r="C35" s="5"/>
      <c r="D35" s="4"/>
      <c r="E35" s="7"/>
      <c r="F35" s="8"/>
      <c r="G35" s="11"/>
      <c r="H35" s="12"/>
      <c r="I35" s="11"/>
      <c r="J35" s="12"/>
      <c r="K35" s="21"/>
      <c r="S35" s="31"/>
      <c r="T35" s="46"/>
      <c r="U35" s="45"/>
      <c r="V35" s="45"/>
      <c r="W35" s="45"/>
      <c r="X35" s="45"/>
      <c r="Y35" s="45"/>
    </row>
    <row r="36" spans="1:25" x14ac:dyDescent="0.25">
      <c r="A36" s="1"/>
      <c r="B36" s="1"/>
      <c r="C36" s="5"/>
      <c r="D36" s="4"/>
      <c r="E36" s="7"/>
      <c r="F36" s="8"/>
      <c r="G36" s="11"/>
      <c r="H36" s="12"/>
      <c r="I36" s="11"/>
      <c r="J36" s="12"/>
      <c r="K36" s="21"/>
      <c r="S36" s="31"/>
      <c r="T36" s="46"/>
      <c r="U36" s="45"/>
      <c r="V36" s="45"/>
      <c r="W36" s="45"/>
      <c r="X36" s="45"/>
      <c r="Y36" s="45"/>
    </row>
    <row r="37" spans="1:25" x14ac:dyDescent="0.25">
      <c r="A37" s="1"/>
      <c r="B37" s="1"/>
      <c r="C37" s="5"/>
      <c r="D37" s="4"/>
      <c r="E37" s="7"/>
      <c r="F37" s="8"/>
      <c r="G37" s="11"/>
      <c r="H37" s="12"/>
      <c r="I37" s="11"/>
      <c r="J37" s="12"/>
      <c r="K37" s="21"/>
      <c r="S37" s="31"/>
      <c r="T37" s="46"/>
      <c r="U37" s="45"/>
      <c r="V37" s="45"/>
      <c r="W37" s="45"/>
      <c r="X37" s="45"/>
      <c r="Y37" s="45"/>
    </row>
    <row r="38" spans="1:25" x14ac:dyDescent="0.25">
      <c r="A38" s="1"/>
      <c r="B38" s="1"/>
      <c r="C38" s="5"/>
      <c r="D38" s="4"/>
      <c r="E38" s="7"/>
      <c r="F38" s="8"/>
      <c r="G38" s="11"/>
      <c r="H38" s="12"/>
      <c r="I38" s="11"/>
      <c r="J38" s="12"/>
      <c r="K38" s="21"/>
      <c r="S38" s="31"/>
      <c r="T38" s="46"/>
      <c r="U38" s="45"/>
      <c r="V38" s="45"/>
      <c r="W38" s="45"/>
      <c r="X38" s="45"/>
      <c r="Y38" s="45"/>
    </row>
    <row r="39" spans="1:25" x14ac:dyDescent="0.25">
      <c r="A39" s="1"/>
      <c r="B39" s="1"/>
      <c r="C39" s="5"/>
      <c r="D39" s="4"/>
      <c r="E39" s="7"/>
      <c r="F39" s="8"/>
      <c r="G39" s="11"/>
      <c r="H39" s="12"/>
      <c r="I39" s="11"/>
      <c r="J39" s="12"/>
      <c r="K39" s="21"/>
      <c r="S39" s="31"/>
      <c r="T39" s="46"/>
      <c r="U39" s="45"/>
      <c r="V39" s="45"/>
      <c r="W39" s="45"/>
      <c r="X39" s="45"/>
      <c r="Y39" s="45"/>
    </row>
    <row r="40" spans="1:25" x14ac:dyDescent="0.25">
      <c r="A40" s="1"/>
      <c r="B40" s="1"/>
      <c r="C40" s="5"/>
      <c r="D40" s="4"/>
      <c r="E40" s="7"/>
      <c r="F40" s="8"/>
      <c r="G40" s="11"/>
      <c r="H40" s="12"/>
      <c r="I40" s="11"/>
      <c r="J40" s="12"/>
      <c r="K40" s="21"/>
      <c r="S40" s="31"/>
      <c r="T40" s="46"/>
      <c r="U40" s="45"/>
      <c r="V40" s="45"/>
      <c r="W40" s="45"/>
      <c r="X40" s="45"/>
      <c r="Y40" s="45"/>
    </row>
    <row r="41" spans="1:25" x14ac:dyDescent="0.25">
      <c r="A41" s="1"/>
      <c r="B41" s="1"/>
      <c r="C41" s="5"/>
      <c r="D41" s="4"/>
      <c r="E41" s="7"/>
      <c r="F41" s="8"/>
      <c r="G41" s="11"/>
      <c r="H41" s="12"/>
      <c r="I41" s="11"/>
      <c r="J41" s="12"/>
      <c r="K41" s="21"/>
      <c r="S41" s="31"/>
      <c r="T41" s="46"/>
      <c r="U41" s="45"/>
      <c r="V41" s="45"/>
      <c r="W41" s="45"/>
      <c r="X41" s="45"/>
      <c r="Y41" s="45"/>
    </row>
    <row r="42" spans="1:25" x14ac:dyDescent="0.25">
      <c r="A42" s="1"/>
      <c r="B42" s="1"/>
      <c r="C42" s="5"/>
      <c r="D42" s="4"/>
      <c r="E42" s="7"/>
      <c r="F42" s="8"/>
      <c r="G42" s="11"/>
      <c r="H42" s="12"/>
      <c r="I42" s="11"/>
      <c r="J42" s="12"/>
      <c r="K42" s="21"/>
      <c r="S42" s="31"/>
      <c r="T42" s="46"/>
      <c r="U42" s="45"/>
      <c r="V42" s="45"/>
      <c r="W42" s="45"/>
      <c r="X42" s="45"/>
      <c r="Y42" s="45"/>
    </row>
    <row r="43" spans="1:25" x14ac:dyDescent="0.25">
      <c r="A43" s="1"/>
      <c r="B43" s="1"/>
      <c r="C43" s="5"/>
      <c r="D43" s="4"/>
      <c r="E43" s="7"/>
      <c r="F43" s="8"/>
      <c r="G43" s="11"/>
      <c r="H43" s="12"/>
      <c r="I43" s="11"/>
      <c r="J43" s="12"/>
      <c r="K43" s="21"/>
      <c r="S43" s="31"/>
      <c r="T43" s="46"/>
      <c r="U43" s="45"/>
      <c r="V43" s="45"/>
      <c r="W43" s="45"/>
      <c r="X43" s="45"/>
      <c r="Y43" s="45"/>
    </row>
    <row r="44" spans="1:25" x14ac:dyDescent="0.25">
      <c r="A44" s="1"/>
      <c r="B44" s="1"/>
      <c r="C44" s="5"/>
      <c r="D44" s="4"/>
      <c r="E44" s="7"/>
      <c r="F44" s="8"/>
      <c r="G44" s="11"/>
      <c r="H44" s="12"/>
      <c r="I44" s="11"/>
      <c r="J44" s="12"/>
      <c r="K44" s="21"/>
      <c r="S44" s="31"/>
      <c r="T44" s="46"/>
      <c r="U44" s="45"/>
      <c r="V44" s="45"/>
      <c r="W44" s="45"/>
      <c r="X44" s="45"/>
      <c r="Y44" s="45"/>
    </row>
    <row r="45" spans="1:25" x14ac:dyDescent="0.25">
      <c r="A45" s="1"/>
      <c r="B45" s="1"/>
      <c r="C45" s="5"/>
      <c r="D45" s="4"/>
      <c r="E45" s="7"/>
      <c r="F45" s="8"/>
      <c r="G45" s="11"/>
      <c r="H45" s="12"/>
      <c r="I45" s="11"/>
      <c r="J45" s="12"/>
      <c r="K45" s="21"/>
      <c r="S45" s="31"/>
      <c r="T45" s="46"/>
      <c r="U45" s="45"/>
      <c r="V45" s="45"/>
      <c r="W45" s="45"/>
      <c r="X45" s="45"/>
      <c r="Y45" s="45"/>
    </row>
    <row r="46" spans="1:25" x14ac:dyDescent="0.25">
      <c r="A46" s="1"/>
      <c r="B46" s="1"/>
      <c r="C46" s="5"/>
      <c r="D46" s="4"/>
      <c r="E46" s="7"/>
      <c r="F46" s="8"/>
      <c r="G46" s="11"/>
      <c r="H46" s="12"/>
      <c r="I46" s="11"/>
      <c r="J46" s="12"/>
      <c r="K46" s="21"/>
      <c r="S46" s="31"/>
      <c r="T46" s="46"/>
      <c r="U46" s="45"/>
      <c r="V46" s="45"/>
      <c r="W46" s="45"/>
      <c r="X46" s="45"/>
      <c r="Y46" s="45"/>
    </row>
    <row r="47" spans="1:25" x14ac:dyDescent="0.25">
      <c r="A47" s="1"/>
      <c r="B47" s="1"/>
      <c r="C47" s="5"/>
      <c r="D47" s="4"/>
      <c r="E47" s="7"/>
      <c r="F47" s="8"/>
      <c r="G47" s="11"/>
      <c r="H47" s="12"/>
      <c r="I47" s="11"/>
      <c r="J47" s="12"/>
      <c r="K47" s="21"/>
      <c r="S47" s="31"/>
      <c r="T47" s="46"/>
      <c r="U47" s="45"/>
      <c r="V47" s="45"/>
      <c r="W47" s="45"/>
      <c r="X47" s="45"/>
      <c r="Y47" s="45"/>
    </row>
    <row r="48" spans="1:25" x14ac:dyDescent="0.25">
      <c r="A48" s="1"/>
      <c r="B48" s="1"/>
      <c r="C48" s="5"/>
      <c r="D48" s="4"/>
      <c r="E48" s="7"/>
      <c r="F48" s="8"/>
      <c r="G48" s="11"/>
      <c r="H48" s="12"/>
      <c r="I48" s="11"/>
      <c r="J48" s="12"/>
      <c r="K48" s="21"/>
      <c r="S48" s="31"/>
      <c r="T48" s="46"/>
      <c r="U48" s="45"/>
      <c r="V48" s="45"/>
      <c r="W48" s="45"/>
      <c r="X48" s="45"/>
      <c r="Y48" s="45"/>
    </row>
    <row r="49" spans="1:25" x14ac:dyDescent="0.25">
      <c r="A49" s="1"/>
      <c r="B49" s="1"/>
      <c r="C49" s="5"/>
      <c r="D49" s="4"/>
      <c r="E49" s="7"/>
      <c r="F49" s="8"/>
      <c r="G49" s="11"/>
      <c r="H49" s="12"/>
      <c r="I49" s="11"/>
      <c r="J49" s="12"/>
      <c r="K49" s="21"/>
      <c r="S49" s="31"/>
      <c r="T49" s="46"/>
      <c r="U49" s="45"/>
      <c r="V49" s="45"/>
      <c r="W49" s="45"/>
      <c r="X49" s="45"/>
      <c r="Y49" s="45"/>
    </row>
    <row r="50" spans="1:25" x14ac:dyDescent="0.25">
      <c r="A50" s="1"/>
      <c r="B50" s="1"/>
      <c r="C50" s="5"/>
      <c r="D50" s="4"/>
      <c r="E50" s="7"/>
      <c r="F50" s="8"/>
      <c r="G50" s="11"/>
      <c r="H50" s="12"/>
      <c r="I50" s="11"/>
      <c r="J50" s="12"/>
      <c r="K50" s="21"/>
      <c r="S50" s="31"/>
      <c r="T50" s="46"/>
      <c r="U50" s="45"/>
      <c r="V50" s="45"/>
      <c r="W50" s="45"/>
      <c r="X50" s="45"/>
      <c r="Y50" s="45"/>
    </row>
    <row r="51" spans="1:25" x14ac:dyDescent="0.25">
      <c r="A51" s="1"/>
      <c r="B51" s="1"/>
      <c r="C51" s="22"/>
      <c r="D51" s="23"/>
      <c r="E51" s="23"/>
      <c r="F51" s="24"/>
      <c r="G51" s="25"/>
      <c r="H51" s="26"/>
      <c r="I51" s="25"/>
      <c r="J51" s="26"/>
      <c r="K51" s="27"/>
      <c r="L51" s="28"/>
      <c r="M51" s="28"/>
      <c r="N51" s="28"/>
      <c r="O51" s="28"/>
      <c r="P51" s="28"/>
      <c r="Q51" s="28"/>
      <c r="R51" s="28"/>
      <c r="S51" s="32"/>
      <c r="T51" s="46"/>
      <c r="U51" s="45"/>
      <c r="V51" s="45"/>
      <c r="W51" s="45"/>
      <c r="X51" s="45"/>
      <c r="Y51" s="45"/>
    </row>
    <row r="52" spans="1:25" x14ac:dyDescent="0.25">
      <c r="A52" s="1"/>
      <c r="B52" s="1"/>
    </row>
    <row r="53" spans="1:25" x14ac:dyDescent="0.25">
      <c r="A53" s="1"/>
      <c r="B53" s="1"/>
    </row>
    <row r="54" spans="1:25" x14ac:dyDescent="0.25">
      <c r="A54" s="1"/>
      <c r="B54" s="1"/>
    </row>
    <row r="55" spans="1:25" x14ac:dyDescent="0.25">
      <c r="A55" s="1"/>
      <c r="B55" s="1"/>
    </row>
    <row r="56" spans="1:25" x14ac:dyDescent="0.25">
      <c r="A56" s="1"/>
      <c r="B56" s="1"/>
    </row>
    <row r="57" spans="1:25" x14ac:dyDescent="0.25">
      <c r="A57" s="1"/>
      <c r="B57" s="1"/>
    </row>
    <row r="58" spans="1:25" x14ac:dyDescent="0.25">
      <c r="A58" s="1"/>
      <c r="B58" s="1"/>
    </row>
    <row r="59" spans="1:25" x14ac:dyDescent="0.25">
      <c r="A59" s="1"/>
      <c r="B59" s="1"/>
    </row>
    <row r="60" spans="1:25" x14ac:dyDescent="0.25">
      <c r="A60" s="1"/>
      <c r="B60" s="1"/>
    </row>
    <row r="61" spans="1:25" x14ac:dyDescent="0.25">
      <c r="A61" s="1"/>
      <c r="B61" s="1"/>
    </row>
    <row r="62" spans="1:25" x14ac:dyDescent="0.25">
      <c r="A62" s="1"/>
      <c r="B62" s="1"/>
    </row>
    <row r="63" spans="1:25" x14ac:dyDescent="0.25">
      <c r="A63" s="1"/>
      <c r="B63" s="1"/>
    </row>
    <row r="64" spans="1:25" x14ac:dyDescent="0.25">
      <c r="A64" s="1"/>
      <c r="B64" s="1"/>
    </row>
    <row r="65" spans="1:2" x14ac:dyDescent="0.25">
      <c r="A65" s="1"/>
      <c r="B65" s="1"/>
    </row>
    <row r="66" spans="1:2" x14ac:dyDescent="0.25">
      <c r="A66" s="1"/>
      <c r="B66" s="1"/>
    </row>
  </sheetData>
  <mergeCells count="10">
    <mergeCell ref="I15:J15"/>
    <mergeCell ref="I14:J14"/>
    <mergeCell ref="J1:R1"/>
    <mergeCell ref="I11:J11"/>
    <mergeCell ref="I12:J12"/>
    <mergeCell ref="C3:F3"/>
    <mergeCell ref="G3:H3"/>
    <mergeCell ref="I3:J3"/>
    <mergeCell ref="I9:J10"/>
    <mergeCell ref="I8:J8"/>
  </mergeCells>
  <conditionalFormatting sqref="D7:E9">
    <cfRule type="expression" dxfId="7" priority="8">
      <formula>$B$8=FALSE</formula>
    </cfRule>
  </conditionalFormatting>
  <conditionalFormatting sqref="G5:H51">
    <cfRule type="expression" dxfId="6" priority="2">
      <formula>$B$12=ROW()</formula>
    </cfRule>
    <cfRule type="expression" dxfId="5" priority="6">
      <formula>AND($G5&lt;&gt;"",MOD(ROW(),2)=1)</formula>
    </cfRule>
    <cfRule type="expression" dxfId="4" priority="7">
      <formula>AND($G5&lt;&gt;"",MOD(ROW(),2)=0)</formula>
    </cfRule>
  </conditionalFormatting>
  <conditionalFormatting sqref="D8:E9">
    <cfRule type="expression" dxfId="3" priority="5">
      <formula>$D$7="Fixture Name"</formula>
    </cfRule>
  </conditionalFormatting>
  <conditionalFormatting sqref="I17:J51">
    <cfRule type="expression" dxfId="2" priority="1">
      <formula>$B$14=ROW()</formula>
    </cfRule>
    <cfRule type="expression" dxfId="1" priority="4">
      <formula>AND(ROW()&lt;=$J$5+16,MOD(ROW(),2)=0)</formula>
    </cfRule>
  </conditionalFormatting>
  <conditionalFormatting sqref="I17:J24">
    <cfRule type="expression" dxfId="0" priority="3">
      <formula>AND(ROW()&lt;=$J$5+16,MOD(ROW(),2)=1)</formula>
    </cfRule>
  </conditionalFormatting>
  <dataValidations count="2">
    <dataValidation type="list" allowBlank="1" showInputMessage="1" showErrorMessage="1" sqref="E7">
      <formula1>TableTypes</formula1>
    </dataValidation>
    <dataValidation type="list" allowBlank="1" showInputMessage="1" showErrorMessage="1" sqref="E8">
      <formula1>Rectangle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1"/>
  <sheetViews>
    <sheetView workbookViewId="0">
      <selection activeCell="D2" sqref="D2"/>
    </sheetView>
  </sheetViews>
  <sheetFormatPr defaultRowHeight="15" x14ac:dyDescent="0.25"/>
  <cols>
    <col min="2" max="2" width="17.42578125" customWidth="1"/>
    <col min="3" max="3" width="11.85546875" customWidth="1"/>
    <col min="4" max="4" width="22.7109375" bestFit="1" customWidth="1"/>
    <col min="7" max="7" width="11.7109375" bestFit="1" customWidth="1"/>
    <col min="8" max="8" width="13" customWidth="1"/>
  </cols>
  <sheetData>
    <row r="1" spans="1:8" x14ac:dyDescent="0.25">
      <c r="A1" s="79" t="s">
        <v>41</v>
      </c>
      <c r="B1" s="79"/>
      <c r="C1" s="79"/>
      <c r="D1" s="79"/>
      <c r="G1" s="79" t="s">
        <v>46</v>
      </c>
      <c r="H1" s="79"/>
    </row>
    <row r="2" spans="1:8" x14ac:dyDescent="0.25">
      <c r="A2" s="53" t="s">
        <v>17</v>
      </c>
      <c r="B2" s="53" t="s">
        <v>42</v>
      </c>
      <c r="C2" s="53" t="s">
        <v>8</v>
      </c>
      <c r="D2" s="53" t="s">
        <v>34</v>
      </c>
      <c r="G2" s="53" t="s">
        <v>42</v>
      </c>
      <c r="H2" s="53" t="s">
        <v>8</v>
      </c>
    </row>
    <row r="3" spans="1:8" x14ac:dyDescent="0.25">
      <c r="A3" s="10">
        <v>1</v>
      </c>
      <c r="B3" t="s">
        <v>33</v>
      </c>
      <c r="C3" s="55">
        <v>43845</v>
      </c>
      <c r="D3" t="s">
        <v>40</v>
      </c>
      <c r="G3" t="s">
        <v>51</v>
      </c>
      <c r="H3" s="55">
        <v>43866</v>
      </c>
    </row>
    <row r="4" spans="1:8" x14ac:dyDescent="0.25">
      <c r="A4" s="10">
        <v>2</v>
      </c>
      <c r="B4" t="s">
        <v>51</v>
      </c>
      <c r="C4" s="55">
        <v>43866</v>
      </c>
      <c r="D4" t="s">
        <v>52</v>
      </c>
      <c r="G4" t="s">
        <v>71</v>
      </c>
      <c r="H4" s="55">
        <v>43850</v>
      </c>
    </row>
    <row r="5" spans="1:8" x14ac:dyDescent="0.25">
      <c r="A5" s="10">
        <v>3</v>
      </c>
      <c r="B5" t="s">
        <v>61</v>
      </c>
      <c r="C5" s="55">
        <v>43845</v>
      </c>
      <c r="D5" t="s">
        <v>57</v>
      </c>
      <c r="G5" t="s">
        <v>33</v>
      </c>
      <c r="H5" s="55">
        <v>43845</v>
      </c>
    </row>
    <row r="6" spans="1:8" x14ac:dyDescent="0.25">
      <c r="A6" s="10">
        <v>4</v>
      </c>
      <c r="B6" t="s">
        <v>60</v>
      </c>
      <c r="C6" s="55">
        <v>43845</v>
      </c>
      <c r="D6" t="s">
        <v>59</v>
      </c>
      <c r="G6" t="s">
        <v>61</v>
      </c>
      <c r="H6" s="55">
        <v>43845</v>
      </c>
    </row>
    <row r="7" spans="1:8" x14ac:dyDescent="0.25">
      <c r="A7" s="10">
        <v>5</v>
      </c>
      <c r="B7" t="s">
        <v>71</v>
      </c>
      <c r="C7" s="55">
        <v>43850</v>
      </c>
      <c r="D7" t="s">
        <v>67</v>
      </c>
      <c r="G7" t="s">
        <v>60</v>
      </c>
      <c r="H7" s="55">
        <v>43845</v>
      </c>
    </row>
    <row r="8" spans="1:8" x14ac:dyDescent="0.25">
      <c r="A8" s="10"/>
      <c r="C8" s="55"/>
    </row>
    <row r="9" spans="1:8" x14ac:dyDescent="0.25">
      <c r="A9" s="10"/>
      <c r="C9" s="55"/>
    </row>
    <row r="10" spans="1:8" x14ac:dyDescent="0.25">
      <c r="A10" s="10"/>
      <c r="C10" s="55"/>
    </row>
    <row r="11" spans="1:8" x14ac:dyDescent="0.25">
      <c r="A11" s="10"/>
      <c r="C11" s="55"/>
    </row>
    <row r="12" spans="1:8" x14ac:dyDescent="0.25">
      <c r="A12" s="10"/>
      <c r="C12" s="55"/>
    </row>
    <row r="13" spans="1:8" x14ac:dyDescent="0.25">
      <c r="A13" s="10"/>
      <c r="C13" s="55"/>
    </row>
    <row r="14" spans="1:8" x14ac:dyDescent="0.25">
      <c r="A14" s="10"/>
      <c r="C14" s="55"/>
    </row>
    <row r="15" spans="1:8" x14ac:dyDescent="0.25">
      <c r="A15" s="10"/>
      <c r="C15" s="55"/>
    </row>
    <row r="16" spans="1:8" x14ac:dyDescent="0.25">
      <c r="A16" s="10"/>
      <c r="C16" s="55"/>
    </row>
    <row r="17" spans="1:3" x14ac:dyDescent="0.25">
      <c r="A17" s="10"/>
      <c r="C17" s="55"/>
    </row>
    <row r="18" spans="1:3" x14ac:dyDescent="0.25">
      <c r="A18" s="10"/>
      <c r="C18" s="55"/>
    </row>
    <row r="19" spans="1:3" x14ac:dyDescent="0.25">
      <c r="A19" s="10"/>
      <c r="C19" s="55"/>
    </row>
    <row r="20" spans="1:3" x14ac:dyDescent="0.25">
      <c r="A20" s="10"/>
      <c r="C20" s="55"/>
    </row>
    <row r="21" spans="1:3" x14ac:dyDescent="0.25">
      <c r="A21" s="10"/>
      <c r="C21" s="55"/>
    </row>
    <row r="22" spans="1:3" x14ac:dyDescent="0.25">
      <c r="A22" s="10"/>
      <c r="C22" s="55"/>
    </row>
    <row r="23" spans="1:3" x14ac:dyDescent="0.25">
      <c r="A23" s="10"/>
      <c r="C23" s="55"/>
    </row>
    <row r="24" spans="1:3" x14ac:dyDescent="0.25">
      <c r="A24" s="10"/>
      <c r="C24" s="55"/>
    </row>
    <row r="25" spans="1:3" x14ac:dyDescent="0.25">
      <c r="A25" s="10"/>
      <c r="C25" s="55"/>
    </row>
    <row r="26" spans="1:3" x14ac:dyDescent="0.25">
      <c r="A26" s="10"/>
      <c r="C26" s="55"/>
    </row>
    <row r="27" spans="1:3" x14ac:dyDescent="0.25">
      <c r="A27" s="10"/>
      <c r="C27" s="55"/>
    </row>
    <row r="28" spans="1:3" x14ac:dyDescent="0.25">
      <c r="A28" s="10"/>
      <c r="C28" s="55"/>
    </row>
    <row r="29" spans="1:3" x14ac:dyDescent="0.25">
      <c r="A29" s="10"/>
      <c r="C29" s="55"/>
    </row>
    <row r="30" spans="1:3" x14ac:dyDescent="0.25">
      <c r="A30" s="10"/>
      <c r="C30" s="55"/>
    </row>
    <row r="31" spans="1:3" x14ac:dyDescent="0.25">
      <c r="A31" s="10"/>
      <c r="C31" s="55"/>
    </row>
    <row r="32" spans="1:3" x14ac:dyDescent="0.25">
      <c r="A32" s="10"/>
      <c r="C32" s="55"/>
    </row>
    <row r="33" spans="1:3" x14ac:dyDescent="0.25">
      <c r="A33" s="10"/>
      <c r="C33" s="55"/>
    </row>
    <row r="34" spans="1:3" x14ac:dyDescent="0.25">
      <c r="A34" s="10"/>
      <c r="C34" s="55"/>
    </row>
    <row r="35" spans="1:3" x14ac:dyDescent="0.25">
      <c r="A35" s="10"/>
      <c r="C35" s="55"/>
    </row>
    <row r="36" spans="1:3" x14ac:dyDescent="0.25">
      <c r="A36" s="10"/>
      <c r="C36" s="55"/>
    </row>
    <row r="37" spans="1:3" x14ac:dyDescent="0.25">
      <c r="A37" s="10"/>
      <c r="C37" s="55"/>
    </row>
    <row r="38" spans="1:3" x14ac:dyDescent="0.25">
      <c r="A38" s="10"/>
      <c r="C38" s="55"/>
    </row>
    <row r="39" spans="1:3" x14ac:dyDescent="0.25">
      <c r="A39" s="10"/>
      <c r="C39" s="55"/>
    </row>
    <row r="40" spans="1:3" x14ac:dyDescent="0.25">
      <c r="C40" s="55"/>
    </row>
    <row r="41" spans="1:3" x14ac:dyDescent="0.25">
      <c r="C41" s="55"/>
    </row>
  </sheetData>
  <sortState ref="G3:H7">
    <sortCondition descending="1" ref="H3"/>
  </sortState>
  <mergeCells count="2">
    <mergeCell ref="A1:D1"/>
    <mergeCell ref="G1:H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7"/>
  <sheetViews>
    <sheetView workbookViewId="0">
      <selection activeCell="E3" sqref="E3"/>
    </sheetView>
  </sheetViews>
  <sheetFormatPr defaultRowHeight="15" x14ac:dyDescent="0.25"/>
  <cols>
    <col min="3" max="3" width="12.42578125" bestFit="1" customWidth="1"/>
    <col min="4" max="4" width="13.42578125" bestFit="1" customWidth="1"/>
    <col min="5" max="5" width="27.42578125" bestFit="1" customWidth="1"/>
  </cols>
  <sheetData>
    <row r="1" spans="1:10" x14ac:dyDescent="0.25">
      <c r="A1" s="80" t="s">
        <v>35</v>
      </c>
      <c r="B1" s="80"/>
      <c r="C1" s="80"/>
      <c r="D1" s="80"/>
      <c r="E1" s="80"/>
      <c r="H1" s="57" t="s">
        <v>48</v>
      </c>
      <c r="J1" s="57" t="s">
        <v>49</v>
      </c>
    </row>
    <row r="2" spans="1:10" x14ac:dyDescent="0.25">
      <c r="A2" s="47" t="s">
        <v>17</v>
      </c>
      <c r="B2" s="47" t="s">
        <v>4</v>
      </c>
      <c r="C2" s="47" t="s">
        <v>11</v>
      </c>
      <c r="D2" s="47" t="s">
        <v>20</v>
      </c>
      <c r="E2" s="47" t="s">
        <v>14</v>
      </c>
      <c r="H2" s="47" t="s">
        <v>17</v>
      </c>
      <c r="J2" s="47" t="s">
        <v>4</v>
      </c>
    </row>
    <row r="3" spans="1:10" x14ac:dyDescent="0.25">
      <c r="A3" s="10">
        <v>1</v>
      </c>
      <c r="B3" s="10">
        <v>1</v>
      </c>
      <c r="C3" s="83">
        <v>0.83333333333333337</v>
      </c>
      <c r="D3" t="s">
        <v>72</v>
      </c>
      <c r="E3" t="s">
        <v>73</v>
      </c>
      <c r="H3" s="47">
        <f>'Seating Chart'!B3</f>
        <v>3</v>
      </c>
      <c r="J3" s="10">
        <v>1</v>
      </c>
    </row>
    <row r="4" spans="1:10" x14ac:dyDescent="0.25">
      <c r="A4" s="10">
        <v>1</v>
      </c>
      <c r="B4" s="10">
        <v>2</v>
      </c>
      <c r="C4" s="83">
        <v>0.83333333333333337</v>
      </c>
      <c r="D4" t="s">
        <v>36</v>
      </c>
      <c r="E4" t="s">
        <v>50</v>
      </c>
      <c r="J4" s="10"/>
    </row>
    <row r="5" spans="1:10" x14ac:dyDescent="0.25">
      <c r="A5" s="10">
        <v>1</v>
      </c>
      <c r="B5" s="10">
        <v>3</v>
      </c>
      <c r="C5" s="83"/>
      <c r="J5" s="10"/>
    </row>
    <row r="6" spans="1:10" x14ac:dyDescent="0.25">
      <c r="A6" s="10">
        <v>3</v>
      </c>
      <c r="B6" s="10">
        <v>1</v>
      </c>
      <c r="C6" s="83">
        <v>0.83333333333333337</v>
      </c>
      <c r="D6" t="s">
        <v>58</v>
      </c>
      <c r="J6" s="10"/>
    </row>
    <row r="7" spans="1:10" x14ac:dyDescent="0.25">
      <c r="A7" s="10">
        <v>4</v>
      </c>
      <c r="B7" s="10">
        <v>12</v>
      </c>
      <c r="C7" s="83" t="s">
        <v>62</v>
      </c>
      <c r="D7" t="s">
        <v>63</v>
      </c>
      <c r="E7" t="s">
        <v>64</v>
      </c>
      <c r="J7" s="10"/>
    </row>
    <row r="8" spans="1:10" x14ac:dyDescent="0.25">
      <c r="A8" s="10">
        <v>1</v>
      </c>
      <c r="B8" s="10">
        <v>12</v>
      </c>
      <c r="C8" s="83">
        <v>0.83333333333333337</v>
      </c>
      <c r="D8" t="s">
        <v>65</v>
      </c>
      <c r="E8" t="s">
        <v>66</v>
      </c>
    </row>
    <row r="9" spans="1:10" x14ac:dyDescent="0.25">
      <c r="A9" s="10">
        <v>5</v>
      </c>
      <c r="B9" s="10">
        <v>2</v>
      </c>
      <c r="C9" s="83">
        <v>0.91666666666666663</v>
      </c>
    </row>
    <row r="10" spans="1:10" x14ac:dyDescent="0.25">
      <c r="A10" s="10">
        <v>5</v>
      </c>
      <c r="B10" s="10">
        <v>10</v>
      </c>
      <c r="C10" s="83"/>
    </row>
    <row r="11" spans="1:10" x14ac:dyDescent="0.25">
      <c r="A11" s="10">
        <v>1</v>
      </c>
      <c r="B11" s="10">
        <v>7</v>
      </c>
      <c r="C11" s="83"/>
      <c r="D11" t="s">
        <v>74</v>
      </c>
      <c r="E11" t="s">
        <v>73</v>
      </c>
    </row>
    <row r="12" spans="1:10" x14ac:dyDescent="0.25">
      <c r="A12" s="10"/>
      <c r="B12" s="10"/>
      <c r="C12" s="83"/>
    </row>
    <row r="13" spans="1:10" x14ac:dyDescent="0.25">
      <c r="A13" s="10"/>
      <c r="B13" s="10"/>
      <c r="C13" s="83"/>
    </row>
    <row r="14" spans="1:10" x14ac:dyDescent="0.25">
      <c r="A14" s="10"/>
      <c r="B14" s="10"/>
      <c r="C14" s="83"/>
    </row>
    <row r="15" spans="1:10" x14ac:dyDescent="0.25">
      <c r="A15" s="10"/>
      <c r="B15" s="10"/>
      <c r="C15" s="83"/>
    </row>
    <row r="16" spans="1:10" x14ac:dyDescent="0.25">
      <c r="A16" s="10"/>
      <c r="B16" s="10"/>
      <c r="C16" s="83"/>
    </row>
    <row r="17" spans="1:3" x14ac:dyDescent="0.25">
      <c r="A17" s="10"/>
      <c r="B17" s="10"/>
      <c r="C17" s="83"/>
    </row>
    <row r="18" spans="1:3" x14ac:dyDescent="0.25">
      <c r="A18" s="10"/>
      <c r="B18" s="10"/>
      <c r="C18" s="83"/>
    </row>
    <row r="19" spans="1:3" x14ac:dyDescent="0.25">
      <c r="A19" s="10"/>
      <c r="B19" s="10"/>
      <c r="C19" s="83"/>
    </row>
    <row r="20" spans="1:3" x14ac:dyDescent="0.25">
      <c r="A20" s="10"/>
      <c r="B20" s="10"/>
      <c r="C20" s="83"/>
    </row>
    <row r="21" spans="1:3" x14ac:dyDescent="0.25">
      <c r="A21" s="10"/>
      <c r="B21" s="10"/>
      <c r="C21" s="83"/>
    </row>
    <row r="22" spans="1:3" x14ac:dyDescent="0.25">
      <c r="A22" s="10"/>
      <c r="B22" s="10"/>
      <c r="C22" s="83"/>
    </row>
    <row r="23" spans="1:3" x14ac:dyDescent="0.25">
      <c r="A23" s="10"/>
      <c r="B23" s="10"/>
      <c r="C23" s="83"/>
    </row>
    <row r="24" spans="1:3" x14ac:dyDescent="0.25">
      <c r="A24" s="10"/>
      <c r="B24" s="10"/>
      <c r="C24" s="83"/>
    </row>
    <row r="25" spans="1:3" x14ac:dyDescent="0.25">
      <c r="A25" s="10"/>
      <c r="B25" s="10"/>
      <c r="C25" s="83"/>
    </row>
    <row r="26" spans="1:3" x14ac:dyDescent="0.25">
      <c r="A26" s="10"/>
      <c r="B26" s="10"/>
      <c r="C26" s="83"/>
    </row>
    <row r="27" spans="1:3" x14ac:dyDescent="0.25">
      <c r="A27" s="10"/>
      <c r="B27" s="10"/>
      <c r="C27" s="83"/>
    </row>
    <row r="28" spans="1:3" x14ac:dyDescent="0.25">
      <c r="C28" s="83"/>
    </row>
    <row r="29" spans="1:3" x14ac:dyDescent="0.25">
      <c r="C29" s="83"/>
    </row>
    <row r="30" spans="1:3" x14ac:dyDescent="0.25">
      <c r="C30" s="83"/>
    </row>
    <row r="31" spans="1:3" x14ac:dyDescent="0.25">
      <c r="C31" s="83"/>
    </row>
    <row r="32" spans="1:3" x14ac:dyDescent="0.25">
      <c r="C32" s="83"/>
    </row>
    <row r="33" spans="3:3" x14ac:dyDescent="0.25">
      <c r="C33" s="83"/>
    </row>
    <row r="34" spans="3:3" x14ac:dyDescent="0.25">
      <c r="C34" s="83"/>
    </row>
    <row r="35" spans="3:3" x14ac:dyDescent="0.25">
      <c r="C35" s="83"/>
    </row>
    <row r="36" spans="3:3" x14ac:dyDescent="0.25">
      <c r="C36" s="83"/>
    </row>
    <row r="37" spans="3:3" x14ac:dyDescent="0.25">
      <c r="C37" s="83"/>
    </row>
    <row r="38" spans="3:3" x14ac:dyDescent="0.25">
      <c r="C38" s="83"/>
    </row>
    <row r="39" spans="3:3" x14ac:dyDescent="0.25">
      <c r="C39" s="83"/>
    </row>
    <row r="40" spans="3:3" x14ac:dyDescent="0.25">
      <c r="C40" s="83"/>
    </row>
    <row r="41" spans="3:3" x14ac:dyDescent="0.25">
      <c r="C41" s="83"/>
    </row>
    <row r="42" spans="3:3" x14ac:dyDescent="0.25">
      <c r="C42" s="83"/>
    </row>
    <row r="43" spans="3:3" x14ac:dyDescent="0.25">
      <c r="C43" s="83"/>
    </row>
    <row r="44" spans="3:3" x14ac:dyDescent="0.25">
      <c r="C44" s="83"/>
    </row>
    <row r="45" spans="3:3" x14ac:dyDescent="0.25">
      <c r="C45" s="83"/>
    </row>
    <row r="46" spans="3:3" x14ac:dyDescent="0.25">
      <c r="C46" s="83"/>
    </row>
    <row r="47" spans="3:3" x14ac:dyDescent="0.25">
      <c r="C47" s="83"/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6"/>
  <sheetViews>
    <sheetView workbookViewId="0">
      <selection activeCell="H9" sqref="H9"/>
    </sheetView>
  </sheetViews>
  <sheetFormatPr defaultRowHeight="15" x14ac:dyDescent="0.25"/>
  <cols>
    <col min="4" max="5" width="13.7109375" customWidth="1"/>
    <col min="6" max="8" width="2.85546875" customWidth="1"/>
    <col min="9" max="9" width="9.85546875" customWidth="1"/>
    <col min="12" max="12" width="8.28515625" customWidth="1"/>
    <col min="13" max="13" width="11.85546875" bestFit="1" customWidth="1"/>
  </cols>
  <sheetData>
    <row r="1" spans="1:13" x14ac:dyDescent="0.25">
      <c r="A1" s="81" t="s">
        <v>43</v>
      </c>
      <c r="B1" s="81"/>
      <c r="C1" s="81"/>
      <c r="D1" s="81"/>
      <c r="I1" s="54" t="s">
        <v>17</v>
      </c>
      <c r="J1" s="54" t="s">
        <v>4</v>
      </c>
      <c r="L1" s="81" t="s">
        <v>44</v>
      </c>
      <c r="M1" s="81"/>
    </row>
    <row r="2" spans="1:13" x14ac:dyDescent="0.25">
      <c r="A2" s="54" t="s">
        <v>17</v>
      </c>
      <c r="B2" s="54" t="s">
        <v>4</v>
      </c>
      <c r="C2" s="54" t="s">
        <v>12</v>
      </c>
      <c r="D2" s="54" t="s">
        <v>21</v>
      </c>
      <c r="I2" s="54">
        <f>'Seating Chart'!B3</f>
        <v>3</v>
      </c>
      <c r="J2" s="54">
        <f>'Seating Chart'!J4</f>
        <v>1</v>
      </c>
      <c r="L2" s="54" t="s">
        <v>12</v>
      </c>
      <c r="M2" s="54" t="s">
        <v>21</v>
      </c>
    </row>
    <row r="3" spans="1:13" x14ac:dyDescent="0.25">
      <c r="A3" s="10">
        <v>1</v>
      </c>
      <c r="B3" s="10">
        <v>1</v>
      </c>
      <c r="C3" s="10">
        <v>2</v>
      </c>
      <c r="D3" t="s">
        <v>45</v>
      </c>
      <c r="L3" s="10"/>
    </row>
    <row r="4" spans="1:13" x14ac:dyDescent="0.25">
      <c r="A4" s="10">
        <v>1</v>
      </c>
      <c r="B4" s="10">
        <v>2</v>
      </c>
      <c r="C4" s="10">
        <v>1</v>
      </c>
      <c r="D4" t="s">
        <v>65</v>
      </c>
      <c r="L4" s="10"/>
    </row>
    <row r="5" spans="1:13" x14ac:dyDescent="0.25">
      <c r="A5" s="10">
        <v>5</v>
      </c>
      <c r="B5" s="10">
        <v>2</v>
      </c>
      <c r="C5" s="10">
        <v>1</v>
      </c>
      <c r="D5" t="s">
        <v>68</v>
      </c>
    </row>
    <row r="6" spans="1:13" x14ac:dyDescent="0.25">
      <c r="A6" s="10">
        <v>1</v>
      </c>
      <c r="B6" s="10">
        <v>5</v>
      </c>
      <c r="C6" s="10">
        <v>1</v>
      </c>
      <c r="D6" t="s">
        <v>75</v>
      </c>
    </row>
    <row r="7" spans="1:13" x14ac:dyDescent="0.25">
      <c r="A7" s="10"/>
      <c r="B7" s="10"/>
      <c r="C7" s="10"/>
    </row>
    <row r="8" spans="1:13" x14ac:dyDescent="0.25">
      <c r="A8" s="10"/>
      <c r="B8" s="10"/>
      <c r="C8" s="10"/>
    </row>
    <row r="9" spans="1:13" x14ac:dyDescent="0.25">
      <c r="A9" s="10"/>
      <c r="B9" s="10"/>
      <c r="C9" s="10"/>
    </row>
    <row r="10" spans="1:13" x14ac:dyDescent="0.25">
      <c r="A10" s="10"/>
      <c r="B10" s="10"/>
      <c r="C10" s="10"/>
    </row>
    <row r="11" spans="1:13" x14ac:dyDescent="0.25">
      <c r="A11" s="10"/>
      <c r="B11" s="10"/>
      <c r="C11" s="10"/>
    </row>
    <row r="12" spans="1:13" x14ac:dyDescent="0.25">
      <c r="A12" s="10"/>
      <c r="B12" s="10"/>
      <c r="C12" s="10"/>
    </row>
    <row r="13" spans="1:13" x14ac:dyDescent="0.25">
      <c r="A13" s="10"/>
      <c r="B13" s="10"/>
      <c r="C13" s="10"/>
    </row>
    <row r="14" spans="1:13" x14ac:dyDescent="0.25">
      <c r="A14" s="10"/>
      <c r="B14" s="10"/>
      <c r="C14" s="10"/>
    </row>
    <row r="15" spans="1:13" x14ac:dyDescent="0.25">
      <c r="A15" s="10"/>
      <c r="B15" s="10"/>
      <c r="C15" s="10"/>
    </row>
    <row r="16" spans="1:13" x14ac:dyDescent="0.25">
      <c r="A16" s="10"/>
      <c r="B16" s="10"/>
      <c r="C16" s="10"/>
    </row>
    <row r="17" spans="1:3" x14ac:dyDescent="0.25">
      <c r="A17" s="10"/>
      <c r="B17" s="10"/>
      <c r="C17" s="10"/>
    </row>
    <row r="18" spans="1:3" x14ac:dyDescent="0.25">
      <c r="A18" s="10"/>
      <c r="B18" s="10"/>
      <c r="C18" s="10"/>
    </row>
    <row r="19" spans="1:3" x14ac:dyDescent="0.25">
      <c r="A19" s="10"/>
      <c r="B19" s="10"/>
      <c r="C19" s="10"/>
    </row>
    <row r="20" spans="1:3" x14ac:dyDescent="0.25">
      <c r="A20" s="10"/>
      <c r="B20" s="10"/>
      <c r="C20" s="10"/>
    </row>
    <row r="21" spans="1:3" x14ac:dyDescent="0.25">
      <c r="A21" s="10"/>
      <c r="B21" s="10"/>
      <c r="C21" s="10"/>
    </row>
    <row r="22" spans="1:3" x14ac:dyDescent="0.25">
      <c r="A22" s="10"/>
      <c r="B22" s="10"/>
      <c r="C22" s="10"/>
    </row>
    <row r="23" spans="1:3" x14ac:dyDescent="0.25">
      <c r="A23" s="10"/>
      <c r="B23" s="10"/>
      <c r="C23" s="10"/>
    </row>
    <row r="24" spans="1:3" x14ac:dyDescent="0.25">
      <c r="A24" s="10"/>
      <c r="B24" s="10"/>
      <c r="C24" s="10"/>
    </row>
    <row r="25" spans="1:3" x14ac:dyDescent="0.25">
      <c r="A25" s="10"/>
      <c r="B25" s="10"/>
      <c r="C25" s="10"/>
    </row>
    <row r="26" spans="1:3" x14ac:dyDescent="0.25">
      <c r="A26" s="10"/>
      <c r="B26" s="10"/>
      <c r="C26" s="10"/>
    </row>
    <row r="27" spans="1:3" x14ac:dyDescent="0.25">
      <c r="A27" s="10"/>
      <c r="B27" s="10"/>
      <c r="C27" s="10"/>
    </row>
    <row r="28" spans="1:3" x14ac:dyDescent="0.25">
      <c r="A28" s="10"/>
      <c r="B28" s="10"/>
      <c r="C28" s="10"/>
    </row>
    <row r="29" spans="1:3" x14ac:dyDescent="0.25">
      <c r="A29" s="10"/>
      <c r="B29" s="10"/>
      <c r="C29" s="10"/>
    </row>
    <row r="30" spans="1:3" x14ac:dyDescent="0.25">
      <c r="A30" s="10"/>
      <c r="B30" s="10"/>
      <c r="C30" s="10"/>
    </row>
    <row r="31" spans="1:3" x14ac:dyDescent="0.25">
      <c r="A31" s="10"/>
      <c r="B31" s="10"/>
      <c r="C31" s="10"/>
    </row>
    <row r="32" spans="1:3" x14ac:dyDescent="0.25">
      <c r="A32" s="10"/>
      <c r="B32" s="10"/>
      <c r="C32" s="10"/>
    </row>
    <row r="33" spans="1:3" x14ac:dyDescent="0.25">
      <c r="A33" s="10"/>
      <c r="B33" s="10"/>
      <c r="C33" s="10"/>
    </row>
    <row r="34" spans="1:3" x14ac:dyDescent="0.25">
      <c r="A34" s="10"/>
      <c r="B34" s="10"/>
      <c r="C34" s="10"/>
    </row>
    <row r="35" spans="1:3" x14ac:dyDescent="0.25">
      <c r="A35" s="10"/>
      <c r="B35" s="10"/>
      <c r="C35" s="10"/>
    </row>
    <row r="36" spans="1:3" x14ac:dyDescent="0.25">
      <c r="A36" s="10"/>
      <c r="B36" s="10"/>
      <c r="C36" s="10"/>
    </row>
    <row r="37" spans="1:3" x14ac:dyDescent="0.25">
      <c r="A37" s="10"/>
      <c r="B37" s="10"/>
      <c r="C37" s="10"/>
    </row>
    <row r="38" spans="1:3" x14ac:dyDescent="0.25">
      <c r="A38" s="10"/>
      <c r="B38" s="10"/>
      <c r="C38" s="10"/>
    </row>
    <row r="39" spans="1:3" x14ac:dyDescent="0.25">
      <c r="A39" s="10"/>
      <c r="B39" s="10"/>
      <c r="C39" s="10"/>
    </row>
    <row r="40" spans="1:3" x14ac:dyDescent="0.25">
      <c r="A40" s="10"/>
      <c r="B40" s="10"/>
      <c r="C40" s="10"/>
    </row>
    <row r="41" spans="1:3" x14ac:dyDescent="0.25">
      <c r="A41" s="10"/>
      <c r="B41" s="10"/>
      <c r="C41" s="10"/>
    </row>
    <row r="42" spans="1:3" x14ac:dyDescent="0.25">
      <c r="A42" s="10"/>
      <c r="B42" s="10"/>
      <c r="C42" s="10"/>
    </row>
    <row r="43" spans="1:3" x14ac:dyDescent="0.25">
      <c r="A43" s="10"/>
      <c r="B43" s="10"/>
      <c r="C43" s="10"/>
    </row>
    <row r="44" spans="1:3" x14ac:dyDescent="0.25">
      <c r="A44" s="10"/>
      <c r="B44" s="10"/>
      <c r="C44" s="10"/>
    </row>
    <row r="45" spans="1:3" x14ac:dyDescent="0.25">
      <c r="A45" s="10"/>
      <c r="B45" s="10"/>
      <c r="C45" s="10"/>
    </row>
    <row r="46" spans="1:3" x14ac:dyDescent="0.25">
      <c r="A46" s="10"/>
      <c r="B46" s="10"/>
      <c r="C46" s="10"/>
    </row>
    <row r="47" spans="1:3" x14ac:dyDescent="0.25">
      <c r="A47" s="10"/>
      <c r="B47" s="10"/>
      <c r="C47" s="10"/>
    </row>
    <row r="48" spans="1:3" x14ac:dyDescent="0.25">
      <c r="A48" s="10"/>
      <c r="B48" s="10"/>
      <c r="C48" s="10"/>
    </row>
    <row r="49" spans="1:3" x14ac:dyDescent="0.25">
      <c r="A49" s="10"/>
      <c r="B49" s="10"/>
      <c r="C49" s="10"/>
    </row>
    <row r="50" spans="1:3" x14ac:dyDescent="0.25">
      <c r="A50" s="10"/>
      <c r="B50" s="10"/>
      <c r="C50" s="10"/>
    </row>
    <row r="51" spans="1:3" x14ac:dyDescent="0.25">
      <c r="A51" s="10"/>
      <c r="B51" s="10"/>
      <c r="C51" s="10"/>
    </row>
    <row r="52" spans="1:3" x14ac:dyDescent="0.25">
      <c r="A52" s="10"/>
      <c r="B52" s="10"/>
      <c r="C52" s="10"/>
    </row>
    <row r="53" spans="1:3" x14ac:dyDescent="0.25">
      <c r="A53" s="10"/>
      <c r="B53" s="10"/>
      <c r="C53" s="10"/>
    </row>
    <row r="54" spans="1:3" x14ac:dyDescent="0.25">
      <c r="A54" s="10"/>
      <c r="B54" s="10"/>
      <c r="C54" s="10"/>
    </row>
    <row r="55" spans="1:3" x14ac:dyDescent="0.25">
      <c r="A55" s="10"/>
      <c r="B55" s="10"/>
      <c r="C55" s="10"/>
    </row>
    <row r="56" spans="1:3" x14ac:dyDescent="0.25">
      <c r="A56" s="10"/>
      <c r="B56" s="10"/>
      <c r="C56" s="10"/>
    </row>
  </sheetData>
  <mergeCells count="2">
    <mergeCell ref="A1:D1"/>
    <mergeCell ref="L1:M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Admin &amp; Lists</vt:lpstr>
      <vt:lpstr>Seating Chart</vt:lpstr>
      <vt:lpstr>Events List</vt:lpstr>
      <vt:lpstr>Event Tables List</vt:lpstr>
      <vt:lpstr>Event Guest List</vt:lpstr>
      <vt:lpstr>Circle</vt:lpstr>
      <vt:lpstr>'Event Guest List'!Criteria</vt:lpstr>
      <vt:lpstr>'Event Tables List'!Criteria</vt:lpstr>
      <vt:lpstr>'Event Guest List'!Extract</vt:lpstr>
      <vt:lpstr>'Event Tables List'!Extract</vt:lpstr>
      <vt:lpstr>'Events List'!Extract</vt:lpstr>
      <vt:lpstr>Rectangle</vt:lpstr>
      <vt:lpstr>Square</vt:lpstr>
      <vt:lpstr>TableTypes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Randy Austin</cp:lastModifiedBy>
  <dcterms:created xsi:type="dcterms:W3CDTF">2020-11-06T04:00:33Z</dcterms:created>
  <dcterms:modified xsi:type="dcterms:W3CDTF">2020-11-08T12:57:05Z</dcterms:modified>
</cp:coreProperties>
</file>